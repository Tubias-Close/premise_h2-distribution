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ac145674\coding_projects\premise_h2-distribution\premise\data\additional_inventories\"/>
    </mc:Choice>
  </mc:AlternateContent>
  <xr:revisionPtr revIDLastSave="0" documentId="13_ncr:1_{FA25538F-5D11-4668-A158-6CA8E0CD94C5}" xr6:coauthVersionLast="36" xr6:coauthVersionMax="36" xr10:uidLastSave="{00000000-0000-0000-0000-000000000000}"/>
  <bookViews>
    <workbookView xWindow="0" yWindow="0" windowWidth="23040" windowHeight="8655" xr2:uid="{00000000-000D-0000-FFFF-FFFF00000000}"/>
  </bookViews>
  <sheets>
    <sheet name="hydrogen-transport" sheetId="1" r:id="rId1"/>
    <sheet name="unused activities" sheetId="6" r:id="rId2"/>
    <sheet name="parameters" sheetId="5" r:id="rId3"/>
  </sheets>
  <calcPr calcId="191029"/>
</workbook>
</file>

<file path=xl/calcChain.xml><?xml version="1.0" encoding="utf-8"?>
<calcChain xmlns="http://schemas.openxmlformats.org/spreadsheetml/2006/main">
  <c r="D178" i="1" l="1"/>
  <c r="D164" i="1"/>
  <c r="D131" i="1"/>
  <c r="D146" i="1"/>
  <c r="D100" i="1"/>
  <c r="B166" i="1" l="1"/>
  <c r="B167" i="1" l="1"/>
  <c r="B134" i="1"/>
  <c r="B132" i="1" l="1"/>
  <c r="B127" i="1"/>
  <c r="G131" i="1" s="1"/>
  <c r="A131" i="1" l="1"/>
  <c r="B165" i="1" l="1"/>
  <c r="B147" i="1" l="1"/>
  <c r="B101" i="1"/>
  <c r="B174" i="1"/>
  <c r="A178" i="1" s="1"/>
  <c r="G164" i="1"/>
  <c r="A164" i="1"/>
  <c r="G146" i="1" l="1"/>
  <c r="A146" i="1"/>
  <c r="B16" i="1"/>
  <c r="B15" i="1"/>
  <c r="B31" i="1"/>
  <c r="B30" i="1"/>
  <c r="B80" i="1" l="1"/>
  <c r="A74" i="1" l="1"/>
  <c r="H74" i="1" s="1"/>
  <c r="B76" i="1"/>
  <c r="B81" i="1"/>
  <c r="B82" i="1"/>
  <c r="B83" i="1"/>
  <c r="B84" i="1"/>
  <c r="B85" i="1"/>
  <c r="B86" i="1"/>
  <c r="B87" i="1"/>
  <c r="B88" i="1"/>
  <c r="B89" i="1"/>
  <c r="A44" i="1"/>
  <c r="H44" i="1" s="1"/>
  <c r="B45" i="1"/>
  <c r="B47" i="1"/>
  <c r="B51" i="1"/>
  <c r="B52" i="1"/>
  <c r="B53" i="1"/>
  <c r="B54" i="1"/>
  <c r="B55" i="1"/>
  <c r="B56" i="1"/>
  <c r="B57" i="1"/>
  <c r="B58" i="1"/>
  <c r="B59" i="1"/>
  <c r="B60" i="1"/>
  <c r="B61" i="1"/>
  <c r="C9" i="5" l="1"/>
  <c r="D9" i="5"/>
  <c r="B29" i="1" l="1"/>
  <c r="B14" i="1"/>
  <c r="A12" i="1" l="1"/>
  <c r="B27" i="1" l="1"/>
  <c r="A27" i="1"/>
  <c r="B12" i="1"/>
</calcChain>
</file>

<file path=xl/sharedStrings.xml><?xml version="1.0" encoding="utf-8"?>
<sst xmlns="http://schemas.openxmlformats.org/spreadsheetml/2006/main" count="921" uniqueCount="217">
  <si>
    <t>Database</t>
  </si>
  <si>
    <t>equal</t>
  </si>
  <si>
    <t>Activity</t>
  </si>
  <si>
    <t>activity type</t>
  </si>
  <si>
    <t>allocation</t>
  </si>
  <si>
    <t>authors</t>
  </si>
  <si>
    <t>comment</t>
  </si>
  <si>
    <t>location</t>
  </si>
  <si>
    <t>GLO</t>
  </si>
  <si>
    <t>type</t>
  </si>
  <si>
    <t>Exchanges</t>
  </si>
  <si>
    <t>name</t>
  </si>
  <si>
    <t>amount</t>
  </si>
  <si>
    <t>unit</t>
  </si>
  <si>
    <t>reference product</t>
  </si>
  <si>
    <t>ton kilometer</t>
  </si>
  <si>
    <t>production</t>
  </si>
  <si>
    <t>technosphere</t>
  </si>
  <si>
    <t>uncertainty type</t>
  </si>
  <si>
    <t>categories</t>
  </si>
  <si>
    <t>Ammonia</t>
  </si>
  <si>
    <t>kilogram</t>
  </si>
  <si>
    <t>biosphere</t>
  </si>
  <si>
    <t>Dinitrogen monoxide</t>
  </si>
  <si>
    <t>NMVOC, non-methane volatile organic compounds</t>
  </si>
  <si>
    <t>Nitrogen oxides</t>
  </si>
  <si>
    <t>Particulate Matter, &lt; 2.5 um</t>
  </si>
  <si>
    <t>market for port facilities</t>
  </si>
  <si>
    <t>port facilities</t>
  </si>
  <si>
    <t>ordinary transforming activity</t>
  </si>
  <si>
    <t>air::non-urban air or from high stacks</t>
  </si>
  <si>
    <t>Carbon dioxide, fossil</t>
  </si>
  <si>
    <t>Carbon monoxide, fossil</t>
  </si>
  <si>
    <t>Methane, fossil</t>
  </si>
  <si>
    <t>Particulate Matter, &gt; 10 um</t>
  </si>
  <si>
    <t>Sulfur dioxide</t>
  </si>
  <si>
    <t>ammonia, anhydrous, liquid</t>
  </si>
  <si>
    <t>market for bilge oil</t>
  </si>
  <si>
    <t>Estimate, applying an emission factor of 0.005 kg bilge oil per kg fuel consumed, as in ecoinvent v2 (spielmann et al, 2007). Uncertainty range also from ecoinvent v2. Reference: Spielmann et al (2007) Transport services. ecoinvent Report No. 14. Villigen</t>
  </si>
  <si>
    <t>bilge oil</t>
  </si>
  <si>
    <t>market for diesel, low-sulfur</t>
  </si>
  <si>
    <t>diesel, low-sulfur</t>
  </si>
  <si>
    <t>market for maintenance, tanker, for liquefied natural gas</t>
  </si>
  <si>
    <t>Lifetime tonne-kilometres derived from IMO (2015)</t>
  </si>
  <si>
    <t>maintenance, tanker, for liquefied natural gas</t>
  </si>
  <si>
    <t>Calculated value. Calculation uses the average days at sea, average dead weight and average speed (per ship type) (all from IMO 2014), port capacity based on Rotterdam (average total throughput 2010-2012) and an assumed port life time of 100 years.</t>
  </si>
  <si>
    <t>market for tanker, for liquefied natural gas</t>
  </si>
  <si>
    <t>tanker, for liquefied natural gas</t>
  </si>
  <si>
    <t>market for urea</t>
  </si>
  <si>
    <t>urea</t>
  </si>
  <si>
    <t>hydrogen-transport</t>
  </si>
  <si>
    <t>source</t>
  </si>
  <si>
    <t>ecoinvent 3.12 with additional assumptions - see comment</t>
  </si>
  <si>
    <t>{"data entry": {"name": "Tobias", "email": "tobias.schliess@ier.uni-stuttgart.de"}, "data generator": {"name": "Tobias Schliess", "email": "tobias.schliess@ier.uni-stuttgart.de"}}</t>
  </si>
  <si>
    <t>from combustion of MDO fraction</t>
  </si>
  <si>
    <t>skip</t>
  </si>
  <si>
    <t>market for ammonia, anhydrous, liquid</t>
  </si>
  <si>
    <t>high pressure hydrogen storage tank</t>
  </si>
  <si>
    <t>production amount</t>
  </si>
  <si>
    <t>C. Wulf et al. / Journal of Cleaner Production 199 (2018) 431-443</t>
  </si>
  <si>
    <t>LCI for gaseous hydrogen transport for 1 tkm. Storage tank taken from the hydrogen-distribution dataset. Lorry is market average. Boil-off losses are 0.5 % and 0.5 % during compression (Reuß et al. 2019)</t>
  </si>
  <si>
    <t>LCI for liquid hydrogen transport for 1 tkm. Storage tank taken from the hydrogen-distribution dataset. Lorry is market average. Boil-off losses are 3 % and 1.65 % during liquefaction (Reuß et al. 2019)</t>
  </si>
  <si>
    <t>electricity, medium voltage</t>
  </si>
  <si>
    <t>air</t>
  </si>
  <si>
    <t>market for hydrogen, gaseous, low pressure</t>
  </si>
  <si>
    <t>hydrogen, gaseous, low pressure</t>
  </si>
  <si>
    <t>kilowatt hour</t>
  </si>
  <si>
    <t>RER</t>
  </si>
  <si>
    <t>transport, hydrogen, gaseous, lorry, unspecified</t>
  </si>
  <si>
    <t>Hydrogen</t>
  </si>
  <si>
    <t>this dataset is used as a proxy, so the lorry used uses the propulsion system chosen by the IAM scenario</t>
  </si>
  <si>
    <t>boil-off losses to the atmosphere</t>
  </si>
  <si>
    <t>compensation for boil-off losses</t>
  </si>
  <si>
    <t>transport, freight, lorry, diesel, unspecified</t>
  </si>
  <si>
    <t>market for transport, freight, lorry, unspecified</t>
  </si>
  <si>
    <t>transport, hydrogen, liquid, lorry, unspecified</t>
  </si>
  <si>
    <t>market group for electricity, medium voltage</t>
  </si>
  <si>
    <t>Used as main fuel for the engine</t>
  </si>
  <si>
    <t>used as pilot fuel for the engine</t>
  </si>
  <si>
    <t>Urea solution used to treat Nox emissions in emission controlled areas</t>
  </si>
  <si>
    <t>Ammonia slip, see parameters</t>
  </si>
  <si>
    <t>from combustion of MDO fraction, source IMO</t>
  </si>
  <si>
    <t>emissions from NH3 and MDO combustion, combined shares from shipping time spent within and outside of emission controlled areas</t>
  </si>
  <si>
    <t>LH2</t>
  </si>
  <si>
    <t>uni</t>
  </si>
  <si>
    <t>LHV</t>
  </si>
  <si>
    <t>kWh/kg</t>
  </si>
  <si>
    <t>IMO 2018</t>
  </si>
  <si>
    <t>SEC in ship</t>
  </si>
  <si>
    <t>own calculations</t>
  </si>
  <si>
    <t>Main fuel input g</t>
  </si>
  <si>
    <t>g/tkm</t>
  </si>
  <si>
    <t>Main fuel input kWh</t>
  </si>
  <si>
    <t>Pilot fuel input g</t>
  </si>
  <si>
    <t>Pilot fuel input tkm</t>
  </si>
  <si>
    <t>Share of days at SECA</t>
  </si>
  <si>
    <t>%</t>
  </si>
  <si>
    <t>Urea solution input</t>
  </si>
  <si>
    <t>g/kWh fuel combusted</t>
  </si>
  <si>
    <t>Sphera 2024</t>
  </si>
  <si>
    <t>EF CO2 NH3</t>
  </si>
  <si>
    <t>EF N2O Tier II NH3</t>
  </si>
  <si>
    <t>EF N2O Tier III NH3</t>
  </si>
  <si>
    <t>EF CH4 NH3</t>
  </si>
  <si>
    <t>EF NH3 Tier II NH3</t>
  </si>
  <si>
    <t>EF NH3 Tier III NH3</t>
  </si>
  <si>
    <t>EF Nox Tier II NH3</t>
  </si>
  <si>
    <t>EF Nox Tier III NH3</t>
  </si>
  <si>
    <t>EF Sox NH3</t>
  </si>
  <si>
    <t>EF PM2.5 NH3</t>
  </si>
  <si>
    <t>EF NMVOC NH3</t>
  </si>
  <si>
    <t>EF CO2 MDO</t>
  </si>
  <si>
    <t>EF N2O MDO</t>
  </si>
  <si>
    <t>EF CO MDO</t>
  </si>
  <si>
    <t>Wei et al 2025</t>
  </si>
  <si>
    <t>EF CH4 MDO</t>
  </si>
  <si>
    <t>EF NH3 MDO</t>
  </si>
  <si>
    <t>EF Nox Tier II MDO</t>
  </si>
  <si>
    <t>EF Nox Tier III MDO</t>
  </si>
  <si>
    <t>EF Sox MDO</t>
  </si>
  <si>
    <t>EF PM2.5 MDO</t>
  </si>
  <si>
    <t>EF PM10 MDO</t>
  </si>
  <si>
    <t>EF NMVOC MDO</t>
  </si>
  <si>
    <t>kWh/tkm input</t>
  </si>
  <si>
    <t xml:space="preserve">g/tkm </t>
  </si>
  <si>
    <t>Fuels</t>
  </si>
  <si>
    <t>Cargo</t>
  </si>
  <si>
    <t>NH3</t>
  </si>
  <si>
    <t>make up hydrogen to account for losses along the supply chain: PSA recovery rate: 80 %, boil-off during loading and unloading: 0.037 % (source: de Kleijne et al 2024)</t>
  </si>
  <si>
    <t>This dataset represents transporting 1 ton of liquid ammonia for 1 km using marine gas oil (mgo) as fuel. Boil off gas (0.25% per day) are assumed to be reliquified, raising fuel consumption. The final product is hydrogen, gaseous, low pressure, which the electricity is needed for. Make-up hydrogen for losses is taken from the general market for hydrogen. The tanker chosen here is a 50,000 cbm vessel taken from IMO 2018, as a typical ship that size. The dataset is based on the transport, freight, sea, tanker for liquefied natural gas, heavy fuel oil dataset from ecoinvent v3. Auxiliary processes have therefore not been adapted.</t>
  </si>
  <si>
    <t>This dataset represents transporting 1 ton of liquid ammonia for 1 km using 95 % ammonia and 5 % marine gas oil (mgo) as fuel in a dual-fuel engine. Boil off gas (0.25% per day) are assumed to be reliquified, raising fuel consumption. The final product is hydrogen, gaseous, low pressure, which the electricity is needed for. Make-up hydrogen for losses is taken from the general market for hydrogen. The tanker chosen here is a 50,000 cbm vessel taken from IMO 2018, as a typical ship that size. The dataset is based on the transport, freight, sea, tanker for liquefied natural gas, heavy fuel oil dataset from ecoinvent v3. Auxiliary processes have therefore not been adapted.</t>
  </si>
  <si>
    <t>RoW</t>
  </si>
  <si>
    <t>liquid hydrogen production</t>
  </si>
  <si>
    <t>loc</t>
  </si>
  <si>
    <t>minimum</t>
  </si>
  <si>
    <t>maximum</t>
  </si>
  <si>
    <t>Production exchange added to match lci-ships workbook format. Original data in Table S21.</t>
  </si>
  <si>
    <t>hydrogen liquefaction plant construction</t>
  </si>
  <si>
    <t>Marked with an asterisk in the source table as supplied from own/premise pLCI process.</t>
  </si>
  <si>
    <t>market group for electricity, low voltage</t>
  </si>
  <si>
    <t>market for steel, chromium steel 18/8</t>
  </si>
  <si>
    <t>market for reinforcing steel</t>
  </si>
  <si>
    <t>cubic meter</t>
  </si>
  <si>
    <t>market for copper, cathode</t>
  </si>
  <si>
    <t>market for aluminium alloy, AlMg3</t>
  </si>
  <si>
    <t>gaseous hydrogen production</t>
  </si>
  <si>
    <t>As in ecoinvent dataset for hydrogen compression, from low to medium pressure</t>
  </si>
  <si>
    <t>air::unspecified</t>
  </si>
  <si>
    <t>water::unspecified</t>
  </si>
  <si>
    <t>Water</t>
  </si>
  <si>
    <t>Water, cooling, unspecified natural origin</t>
  </si>
  <si>
    <t>natural resource::in water</t>
  </si>
  <si>
    <t>Air</t>
  </si>
  <si>
    <t>steel, chromium steel 18/8</t>
  </si>
  <si>
    <t>reinforcing steel</t>
  </si>
  <si>
    <t>copper, cathode</t>
  </si>
  <si>
    <t>aluminium alloy, AlMg3</t>
  </si>
  <si>
    <t>electricity, low voltage</t>
  </si>
  <si>
    <t>market group for concrete, normal strength</t>
  </si>
  <si>
    <t>concrete, normal strength</t>
  </si>
  <si>
    <t>ammonia cracking</t>
  </si>
  <si>
    <t>market for liquid storage tank, chemicals, organics</t>
  </si>
  <si>
    <t>liquid storage tank, chemicals, organics</t>
  </si>
  <si>
    <t>market for chemical factory, organics</t>
  </si>
  <si>
    <t>chemical factory, organics</t>
  </si>
  <si>
    <t>Used as proxy for liquid ammonia storage at the facility before cracking,  lifetime 50a, 28 t of NH3 cracked per day, 300d per year</t>
  </si>
  <si>
    <t>Size of cracker and storage taken from https://www.thyssenkrupp-uhde.com/en/ammonia-cracking</t>
  </si>
  <si>
    <t>liquid ammonia production</t>
  </si>
  <si>
    <t>ammonia production, liquid</t>
  </si>
  <si>
    <t>Production exchange added to match lci-ships workbook format. Original data in Table S28.</t>
  </si>
  <si>
    <t>market for hydrogen, gaseous, 25-30 bar</t>
  </si>
  <si>
    <t>nitrogen, gaseous, from cryogenic distillation, without compression</t>
  </si>
  <si>
    <t>ammonia synthesis catalyst</t>
  </si>
  <si>
    <t>treatment of inert waste, inert material landfill</t>
  </si>
  <si>
    <t>Production exchange added to match lci-ships workbook format. Original data in Table S29.</t>
  </si>
  <si>
    <t>market for air separation facility</t>
  </si>
  <si>
    <t>Extracted from Wei et al. (2025) Supporting Information, Table S30. Functional unit: 1 kg.</t>
  </si>
  <si>
    <t>Production exchange added to match lci-ships workbook format. Original data in Table S30.</t>
  </si>
  <si>
    <t>market for magnetite</t>
  </si>
  <si>
    <t>market for zeolite, powder</t>
  </si>
  <si>
    <t>This activity is for ammonia conversion from hydrogen. It is an aiding activity specifically, thus there is no hydrogen itself within this activity.</t>
  </si>
  <si>
    <t>Compression of 1 kg hydrogen to 250 bar for transport in lorry</t>
  </si>
  <si>
    <t>Liqeufaction of 1 kg hydrogen for transport in lorry</t>
  </si>
  <si>
    <t>Building a hydrogen liquefaction plant</t>
  </si>
  <si>
    <t>nitrogen production via air separation</t>
  </si>
  <si>
    <t>magnetite</t>
  </si>
  <si>
    <t>zeolite, powder</t>
  </si>
  <si>
    <t>air separation facility</t>
  </si>
  <si>
    <t>compensation for losses: Haber-Bosch process, Shipping and cracking (pressure swing adsorption)</t>
  </si>
  <si>
    <t>inert waste, for final disposal</t>
  </si>
  <si>
    <t>limestone, milled, loose</t>
  </si>
  <si>
    <t>Dataset as migrated from ecoinvent 3.10.1, former market for lime</t>
  </si>
  <si>
    <t>market for limestone, milled, loose</t>
  </si>
  <si>
    <t>liquid hydrogen regasification</t>
  </si>
  <si>
    <t>regasification of liquid hydrogen to compressed gaseous hydrogen (30 bar)</t>
  </si>
  <si>
    <t>boil of losses of 0.5 % during compression</t>
  </si>
  <si>
    <t>Kolb et al 2022, https://doi.org/10.1016/j.jclepro.2022.133289</t>
  </si>
  <si>
    <t>compressor assembly for transmission hydrogen pipeline</t>
  </si>
  <si>
    <t>compressor, for hydrogen transmission</t>
  </si>
  <si>
    <t>The same compressor type as for pipeline transport is used here.</t>
  </si>
  <si>
    <t>The same compressor type as for pipeline transport is used here. Note, that this might underestimate the actual size of compressor, given the higher pressures required here.</t>
  </si>
  <si>
    <t>Wei et al. 2025 Supporting Information, Table S28; Data source: D’Angelo, et al., https://doi.org/10.1016/j.resconrec.2025.108671.</t>
  </si>
  <si>
    <t>Wei et al. 2025 Supporting Information, Table S29; Data source: D’Angelo, et al., https://doi.org/10.1016/j.resconrec.2025.108671</t>
  </si>
  <si>
    <t>Wei et al. 2025 Supporting Information, Table S30; Data source: D’Angelo, et al., https://doi.org/10.1016/j.resconrec.2025.108671</t>
  </si>
  <si>
    <t>Wei et al. 2025 Supporting Information, Table S21; Data source: Al Ghafri, et al. and Wulf and Zapp., https://doi.org/10.1016/j.resconrec.2025.108671.</t>
  </si>
  <si>
    <t>Wei et al. 2025 Supporting Information, Table S22; Data source: Al Ghafri, et al., https://doi.org/10.1016/j.resconrec.2025.108671.</t>
  </si>
  <si>
    <t>{"data entry": {"name": "Tobias", "email": "tobias.schliess@ier.uni-stuttgart.de"}</t>
  </si>
  <si>
    <t>{"data entry": {"name": "Tobias", "email": "tobias.schliess@ier.uni-stuttgart.de"}}</t>
  </si>
  <si>
    <t>This activity is for cracking of ammonia to hydrogen. It is an aiding activity specifically, thus there is no hydrogen itself within this activity.</t>
  </si>
  <si>
    <t>3.086 kWh electricity needed for reconversion of 7.67 kg NH3 to 1 kg H2, used to supply the heat required and the pressure swing adsorption. An additional 0.6 kWh is needed for subsequent compression</t>
  </si>
  <si>
    <t>transport, freight, sea, tanker for liquefied ammonia, ammonia and mdo</t>
  </si>
  <si>
    <t>transport, freight, sea, tanker for liquefied ammonia, mdo</t>
  </si>
  <si>
    <t>used as pilot fuel for the engine, proxy for MDO</t>
  </si>
  <si>
    <t>MDO</t>
  </si>
  <si>
    <t>NH3+MDO</t>
  </si>
  <si>
    <t>electricity needed for the processes and compression</t>
  </si>
  <si>
    <t>Used as the ammonia cracker facility, lifetime 50a, 28 t of NH3 cracked per day, 300d per year, input scaled to a tenth of the size due to smaller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</si>
</sst>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
  </numFmts>
  <fonts count="7">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font>
    <font>
      <sz val="11"/>
      <color theme="1"/>
      <name val="Calibri"/>
      <family val="2"/>
      <scheme val="minor"/>
    </font>
    <font>
      <sz val="11"/>
      <name val="Carlito"/>
    </font>
    <font>
      <b/>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4" fillId="0" borderId="0"/>
    <xf numFmtId="0" fontId="5" fillId="0" borderId="0"/>
    <xf numFmtId="9" fontId="5" fillId="0" borderId="0" applyFon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1" fillId="0" borderId="0" xfId="1" applyFont="1"/>
    <xf numFmtId="0" fontId="4" fillId="0" borderId="0" xfId="1"/>
    <xf numFmtId="0" fontId="4" fillId="0" borderId="0" xfId="1" applyFont="1"/>
    <xf numFmtId="0" fontId="5" fillId="0" borderId="0" xfId="2"/>
    <xf numFmtId="164" fontId="5" fillId="0" borderId="0" xfId="2" applyNumberFormat="1"/>
    <xf numFmtId="165" fontId="0" fillId="0" borderId="0" xfId="3" applyNumberFormat="1" applyFont="1"/>
    <xf numFmtId="166" fontId="5" fillId="0" borderId="0" xfId="2" applyNumberFormat="1"/>
    <xf numFmtId="0" fontId="0" fillId="0" borderId="0" xfId="1" applyFont="1" applyAlignment="1">
      <alignment wrapText="1"/>
    </xf>
    <xf numFmtId="0" fontId="0" fillId="0" borderId="0" xfId="1" applyFont="1"/>
    <xf numFmtId="0" fontId="6" fillId="0" borderId="0" xfId="0" applyFont="1"/>
    <xf numFmtId="0" fontId="4" fillId="0" borderId="0" xfId="1" applyNumberFormat="1"/>
    <xf numFmtId="0" fontId="0" fillId="0" borderId="0" xfId="0" applyFont="1"/>
    <xf numFmtId="0" fontId="0" fillId="0" borderId="0" xfId="1" applyNumberFormat="1" applyFont="1"/>
    <xf numFmtId="11" fontId="0" fillId="0" borderId="0" xfId="1" applyNumberFormat="1" applyFont="1"/>
    <xf numFmtId="0" fontId="0" fillId="0" borderId="0" xfId="0" applyNumberFormat="1"/>
  </cellXfs>
  <cellStyles count="4">
    <cellStyle name="Prozent 2" xfId="3" xr:uid="{36DC7AD1-E470-45B6-8861-287273FFBF17}"/>
    <cellStyle name="Standard" xfId="0" builtinId="0"/>
    <cellStyle name="Standard 2" xfId="1" xr:uid="{1B185295-ECFB-41DF-8BA3-F2F31BA332F6}"/>
    <cellStyle name="Standard 3" xfId="2" xr:uid="{A6B3D187-B544-4614-AE6B-D46253178BE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8"/>
  <sheetViews>
    <sheetView tabSelected="1" topLeftCell="A64" zoomScale="85" zoomScaleNormal="85" workbookViewId="0">
      <selection activeCell="B82" sqref="B82"/>
    </sheetView>
  </sheetViews>
  <sheetFormatPr baseColWidth="10" defaultColWidth="8.85546875" defaultRowHeight="15"/>
  <cols>
    <col min="1" max="1" width="82.7109375" customWidth="1"/>
    <col min="2" max="2" width="9.85546875" bestFit="1" customWidth="1"/>
    <col min="3" max="3" width="23" customWidth="1"/>
    <col min="4" max="4" width="13.7109375" customWidth="1"/>
    <col min="5" max="5" width="17.140625" customWidth="1"/>
    <col min="6" max="6" width="16.140625" customWidth="1"/>
    <col min="7" max="7" width="85.42578125" customWidth="1"/>
    <col min="8" max="8" width="25.42578125" customWidth="1"/>
    <col min="11" max="11" width="13.28515625" customWidth="1"/>
    <col min="12" max="12" width="43.85546875" customWidth="1"/>
    <col min="13" max="13" width="13.28515625" customWidth="1"/>
    <col min="14" max="14" width="14.28515625" customWidth="1"/>
  </cols>
  <sheetData>
    <row r="1" spans="1:9" ht="15.75">
      <c r="A1" s="1" t="s">
        <v>0</v>
      </c>
      <c r="B1" s="2" t="s">
        <v>50</v>
      </c>
    </row>
    <row r="3" spans="1:9" ht="15.75">
      <c r="A3" s="1" t="s">
        <v>2</v>
      </c>
      <c r="B3" s="1" t="s">
        <v>68</v>
      </c>
    </row>
    <row r="4" spans="1:9">
      <c r="A4" t="s">
        <v>7</v>
      </c>
      <c r="B4" t="s">
        <v>8</v>
      </c>
    </row>
    <row r="5" spans="1:9">
      <c r="A5" t="s">
        <v>58</v>
      </c>
      <c r="B5">
        <v>1</v>
      </c>
    </row>
    <row r="6" spans="1:9">
      <c r="A6" t="s">
        <v>14</v>
      </c>
      <c r="B6" t="s">
        <v>68</v>
      </c>
    </row>
    <row r="7" spans="1:9">
      <c r="A7" t="s">
        <v>13</v>
      </c>
      <c r="B7" t="s">
        <v>15</v>
      </c>
    </row>
    <row r="8" spans="1:9">
      <c r="A8" s="5" t="s">
        <v>5</v>
      </c>
      <c r="B8" s="5" t="s">
        <v>53</v>
      </c>
      <c r="C8" s="5"/>
      <c r="D8" s="5"/>
      <c r="E8" s="5"/>
      <c r="F8" s="5"/>
      <c r="G8" s="5"/>
      <c r="H8" s="5"/>
    </row>
    <row r="9" spans="1:9">
      <c r="A9" t="s">
        <v>6</v>
      </c>
      <c r="B9" t="s">
        <v>60</v>
      </c>
    </row>
    <row r="10" spans="1:9" ht="15.75">
      <c r="A10" s="1" t="s">
        <v>10</v>
      </c>
    </row>
    <row r="11" spans="1:9">
      <c r="A11" t="s">
        <v>11</v>
      </c>
      <c r="B11" t="s">
        <v>12</v>
      </c>
      <c r="C11" t="s">
        <v>7</v>
      </c>
      <c r="D11" t="s">
        <v>13</v>
      </c>
      <c r="E11" t="s">
        <v>19</v>
      </c>
      <c r="F11" t="s">
        <v>9</v>
      </c>
      <c r="G11" t="s">
        <v>14</v>
      </c>
      <c r="H11" t="s">
        <v>18</v>
      </c>
      <c r="I11" t="s">
        <v>6</v>
      </c>
    </row>
    <row r="12" spans="1:9">
      <c r="A12" t="str">
        <f>B6</f>
        <v>transport, hydrogen, gaseous, lorry, unspecified</v>
      </c>
      <c r="B12">
        <f>B5</f>
        <v>1</v>
      </c>
      <c r="C12" t="s">
        <v>8</v>
      </c>
      <c r="D12" t="s">
        <v>15</v>
      </c>
      <c r="F12" t="s">
        <v>16</v>
      </c>
      <c r="G12" t="s">
        <v>68</v>
      </c>
    </row>
    <row r="13" spans="1:9" ht="15.75">
      <c r="A13" s="3" t="s">
        <v>74</v>
      </c>
      <c r="B13">
        <v>1</v>
      </c>
      <c r="C13" t="s">
        <v>67</v>
      </c>
      <c r="D13" t="s">
        <v>15</v>
      </c>
      <c r="F13" t="s">
        <v>17</v>
      </c>
      <c r="G13" t="s">
        <v>73</v>
      </c>
      <c r="I13" t="s">
        <v>70</v>
      </c>
    </row>
    <row r="14" spans="1:9">
      <c r="A14" t="s">
        <v>57</v>
      </c>
      <c r="B14">
        <f>1*1000/540000</f>
        <v>1.8518518518518519E-3</v>
      </c>
      <c r="C14" t="s">
        <v>8</v>
      </c>
      <c r="D14" t="s">
        <v>21</v>
      </c>
      <c r="F14" t="s">
        <v>17</v>
      </c>
      <c r="G14" t="s">
        <v>57</v>
      </c>
      <c r="I14" t="s">
        <v>59</v>
      </c>
    </row>
    <row r="15" spans="1:9" ht="15.75">
      <c r="A15" s="3" t="s">
        <v>64</v>
      </c>
      <c r="B15">
        <f>0.005</f>
        <v>5.0000000000000001E-3</v>
      </c>
      <c r="C15" t="s">
        <v>67</v>
      </c>
      <c r="D15" t="s">
        <v>21</v>
      </c>
      <c r="F15" t="s">
        <v>17</v>
      </c>
      <c r="G15" t="s">
        <v>65</v>
      </c>
      <c r="I15" t="s">
        <v>72</v>
      </c>
    </row>
    <row r="16" spans="1:9">
      <c r="A16" t="s">
        <v>69</v>
      </c>
      <c r="B16">
        <f>0.005</f>
        <v>5.0000000000000001E-3</v>
      </c>
      <c r="D16" t="s">
        <v>21</v>
      </c>
      <c r="E16" t="s">
        <v>63</v>
      </c>
      <c r="F16" t="s">
        <v>22</v>
      </c>
      <c r="I16" t="s">
        <v>71</v>
      </c>
    </row>
    <row r="18" spans="1:9" ht="15.75">
      <c r="A18" s="1" t="s">
        <v>2</v>
      </c>
      <c r="B18" s="1" t="s">
        <v>75</v>
      </c>
    </row>
    <row r="19" spans="1:9">
      <c r="A19" t="s">
        <v>7</v>
      </c>
      <c r="B19" t="s">
        <v>8</v>
      </c>
    </row>
    <row r="20" spans="1:9">
      <c r="A20" t="s">
        <v>58</v>
      </c>
      <c r="B20">
        <v>1</v>
      </c>
    </row>
    <row r="21" spans="1:9">
      <c r="A21" t="s">
        <v>14</v>
      </c>
      <c r="B21" t="s">
        <v>75</v>
      </c>
    </row>
    <row r="22" spans="1:9">
      <c r="A22" t="s">
        <v>13</v>
      </c>
      <c r="B22" t="s">
        <v>15</v>
      </c>
    </row>
    <row r="23" spans="1:9">
      <c r="A23" s="5" t="s">
        <v>5</v>
      </c>
      <c r="B23" s="5" t="s">
        <v>53</v>
      </c>
      <c r="C23" s="5"/>
      <c r="D23" s="5"/>
      <c r="E23" s="5"/>
      <c r="F23" s="5"/>
      <c r="G23" s="5"/>
      <c r="H23" s="5"/>
    </row>
    <row r="24" spans="1:9">
      <c r="A24" t="s">
        <v>6</v>
      </c>
      <c r="B24" t="s">
        <v>61</v>
      </c>
    </row>
    <row r="25" spans="1:9" ht="15.75">
      <c r="A25" s="1" t="s">
        <v>10</v>
      </c>
    </row>
    <row r="26" spans="1:9">
      <c r="A26" t="s">
        <v>11</v>
      </c>
      <c r="B26" t="s">
        <v>12</v>
      </c>
      <c r="C26" t="s">
        <v>7</v>
      </c>
      <c r="D26" t="s">
        <v>13</v>
      </c>
      <c r="E26" t="s">
        <v>19</v>
      </c>
      <c r="F26" t="s">
        <v>9</v>
      </c>
      <c r="G26" t="s">
        <v>14</v>
      </c>
      <c r="H26" t="s">
        <v>18</v>
      </c>
      <c r="I26" t="s">
        <v>6</v>
      </c>
    </row>
    <row r="27" spans="1:9">
      <c r="A27" t="str">
        <f>B21</f>
        <v>transport, hydrogen, liquid, lorry, unspecified</v>
      </c>
      <c r="B27">
        <f>B20</f>
        <v>1</v>
      </c>
      <c r="C27" t="s">
        <v>8</v>
      </c>
      <c r="D27" t="s">
        <v>15</v>
      </c>
      <c r="F27" t="s">
        <v>16</v>
      </c>
      <c r="G27" t="s">
        <v>75</v>
      </c>
    </row>
    <row r="28" spans="1:9" ht="15.75">
      <c r="A28" s="3" t="s">
        <v>74</v>
      </c>
      <c r="B28">
        <v>1</v>
      </c>
      <c r="C28" t="s">
        <v>67</v>
      </c>
      <c r="D28" t="s">
        <v>15</v>
      </c>
      <c r="F28" t="s">
        <v>17</v>
      </c>
      <c r="G28" t="s">
        <v>73</v>
      </c>
      <c r="I28" t="s">
        <v>70</v>
      </c>
    </row>
    <row r="29" spans="1:9">
      <c r="A29" t="s">
        <v>57</v>
      </c>
      <c r="B29">
        <f>1*1000/540000</f>
        <v>1.8518518518518519E-3</v>
      </c>
      <c r="C29" t="s">
        <v>8</v>
      </c>
      <c r="D29" t="s">
        <v>21</v>
      </c>
      <c r="F29" t="s">
        <v>17</v>
      </c>
      <c r="G29" t="s">
        <v>57</v>
      </c>
      <c r="I29" t="s">
        <v>59</v>
      </c>
    </row>
    <row r="30" spans="1:9" ht="15.75">
      <c r="A30" s="3" t="s">
        <v>64</v>
      </c>
      <c r="B30">
        <f>0.01625</f>
        <v>1.6250000000000001E-2</v>
      </c>
      <c r="C30" t="s">
        <v>67</v>
      </c>
      <c r="D30" t="s">
        <v>21</v>
      </c>
      <c r="F30" t="s">
        <v>17</v>
      </c>
      <c r="G30" t="s">
        <v>65</v>
      </c>
      <c r="I30" t="s">
        <v>72</v>
      </c>
    </row>
    <row r="31" spans="1:9">
      <c r="A31" t="s">
        <v>69</v>
      </c>
      <c r="B31">
        <f>0.01625</f>
        <v>1.6250000000000001E-2</v>
      </c>
      <c r="D31" t="s">
        <v>21</v>
      </c>
      <c r="E31" t="s">
        <v>63</v>
      </c>
      <c r="F31" t="s">
        <v>22</v>
      </c>
      <c r="I31" t="s">
        <v>71</v>
      </c>
    </row>
    <row r="33" spans="1:8" ht="15.75">
      <c r="A33" s="4" t="s">
        <v>2</v>
      </c>
      <c r="B33" s="4" t="s">
        <v>210</v>
      </c>
      <c r="C33" s="5"/>
      <c r="D33" s="5"/>
      <c r="E33" s="5"/>
      <c r="F33" s="5"/>
      <c r="G33" s="5"/>
      <c r="H33" s="5"/>
    </row>
    <row r="34" spans="1:8">
      <c r="A34" s="5" t="s">
        <v>3</v>
      </c>
      <c r="B34" s="5" t="s">
        <v>29</v>
      </c>
      <c r="C34" s="5"/>
      <c r="D34" s="5"/>
      <c r="E34" s="5"/>
      <c r="F34" s="5"/>
      <c r="G34" s="5"/>
      <c r="H34" s="5"/>
    </row>
    <row r="35" spans="1:8">
      <c r="A35" s="5" t="s">
        <v>4</v>
      </c>
      <c r="B35" s="5" t="s">
        <v>1</v>
      </c>
      <c r="C35" s="5"/>
      <c r="D35" s="5"/>
      <c r="E35" s="5"/>
      <c r="F35" s="5"/>
      <c r="G35" s="5"/>
      <c r="H35" s="5"/>
    </row>
    <row r="36" spans="1:8">
      <c r="A36" s="5" t="s">
        <v>5</v>
      </c>
      <c r="B36" s="5" t="s">
        <v>53</v>
      </c>
      <c r="C36" s="5"/>
      <c r="D36" s="5"/>
      <c r="E36" s="5"/>
      <c r="F36" s="5"/>
      <c r="G36" s="5"/>
      <c r="H36" s="5"/>
    </row>
    <row r="37" spans="1:8" ht="11.25" customHeight="1">
      <c r="A37" s="5" t="s">
        <v>6</v>
      </c>
      <c r="B37" s="11" t="s">
        <v>130</v>
      </c>
      <c r="C37" s="5"/>
      <c r="D37" s="5"/>
      <c r="E37" s="5"/>
      <c r="F37" s="5"/>
      <c r="G37" s="5"/>
      <c r="H37" s="5"/>
    </row>
    <row r="38" spans="1:8">
      <c r="A38" s="5" t="s">
        <v>51</v>
      </c>
      <c r="B38" s="5" t="s">
        <v>52</v>
      </c>
      <c r="C38" s="5"/>
      <c r="D38" s="5"/>
      <c r="E38" s="5"/>
      <c r="F38" s="5"/>
      <c r="G38" s="5"/>
      <c r="H38" s="5"/>
    </row>
    <row r="39" spans="1:8">
      <c r="A39" s="5" t="s">
        <v>7</v>
      </c>
      <c r="B39" s="5" t="s">
        <v>8</v>
      </c>
      <c r="C39" s="5"/>
      <c r="D39" s="5"/>
      <c r="E39" s="5"/>
      <c r="F39" s="5"/>
      <c r="G39" s="5"/>
      <c r="H39" s="5"/>
    </row>
    <row r="40" spans="1:8">
      <c r="A40" s="5" t="s">
        <v>14</v>
      </c>
      <c r="B40" s="12" t="s">
        <v>210</v>
      </c>
      <c r="C40" s="5"/>
      <c r="D40" s="5"/>
      <c r="E40" s="5"/>
      <c r="F40" s="5"/>
      <c r="G40" s="5"/>
      <c r="H40" s="5"/>
    </row>
    <row r="41" spans="1:8">
      <c r="A41" s="5" t="s">
        <v>13</v>
      </c>
      <c r="B41" s="5" t="s">
        <v>15</v>
      </c>
      <c r="C41" s="5"/>
      <c r="D41" s="5"/>
      <c r="E41" s="5"/>
      <c r="F41" s="5"/>
      <c r="G41" s="5"/>
      <c r="H41" s="5"/>
    </row>
    <row r="42" spans="1:8" ht="15.75">
      <c r="A42" s="4" t="s">
        <v>10</v>
      </c>
      <c r="B42" s="5"/>
      <c r="C42" s="5"/>
      <c r="D42" s="5"/>
      <c r="E42" s="5"/>
      <c r="F42" s="5"/>
      <c r="G42" s="5"/>
      <c r="H42" s="5"/>
    </row>
    <row r="43" spans="1:8">
      <c r="A43" s="5" t="s">
        <v>11</v>
      </c>
      <c r="B43" s="5" t="s">
        <v>12</v>
      </c>
      <c r="C43" s="5" t="s">
        <v>7</v>
      </c>
      <c r="D43" s="5" t="s">
        <v>13</v>
      </c>
      <c r="E43" s="5" t="s">
        <v>19</v>
      </c>
      <c r="F43" s="5" t="s">
        <v>9</v>
      </c>
      <c r="G43" s="5" t="s">
        <v>6</v>
      </c>
      <c r="H43" s="5" t="s">
        <v>14</v>
      </c>
    </row>
    <row r="44" spans="1:8">
      <c r="A44" s="6" t="str">
        <f>B40</f>
        <v>transport, freight, sea, tanker for liquefied ammonia, ammonia and mdo</v>
      </c>
      <c r="B44" s="5">
        <v>1</v>
      </c>
      <c r="C44" s="5" t="s">
        <v>8</v>
      </c>
      <c r="D44" s="5" t="s">
        <v>15</v>
      </c>
      <c r="E44" s="5"/>
      <c r="F44" s="5" t="s">
        <v>16</v>
      </c>
      <c r="G44" s="5"/>
      <c r="H44" s="5" t="str">
        <f>A44</f>
        <v>transport, freight, sea, tanker for liquefied ammonia, ammonia and mdo</v>
      </c>
    </row>
    <row r="45" spans="1:8">
      <c r="A45" s="5" t="s">
        <v>56</v>
      </c>
      <c r="B45" s="5">
        <f>parameters!D5/1000</f>
        <v>5.0618999999999994E-3</v>
      </c>
      <c r="C45" s="12" t="s">
        <v>131</v>
      </c>
      <c r="D45" s="5" t="s">
        <v>21</v>
      </c>
      <c r="E45" s="5"/>
      <c r="F45" s="5" t="s">
        <v>17</v>
      </c>
      <c r="G45" s="6" t="s">
        <v>77</v>
      </c>
      <c r="H45" s="5" t="s">
        <v>36</v>
      </c>
    </row>
    <row r="46" spans="1:8">
      <c r="A46" s="5" t="s">
        <v>37</v>
      </c>
      <c r="B46" s="5">
        <v>-1.2999999999999999E-5</v>
      </c>
      <c r="C46" s="12" t="s">
        <v>131</v>
      </c>
      <c r="D46" s="5" t="s">
        <v>21</v>
      </c>
      <c r="E46" s="5"/>
      <c r="F46" s="5" t="s">
        <v>17</v>
      </c>
      <c r="G46" s="5" t="s">
        <v>38</v>
      </c>
      <c r="H46" s="5" t="s">
        <v>39</v>
      </c>
    </row>
    <row r="47" spans="1:8">
      <c r="A47" s="5" t="s">
        <v>40</v>
      </c>
      <c r="B47" s="5">
        <f>parameters!D7/1000</f>
        <v>1.147E-4</v>
      </c>
      <c r="C47" s="12" t="s">
        <v>131</v>
      </c>
      <c r="D47" s="5" t="s">
        <v>21</v>
      </c>
      <c r="E47" s="5"/>
      <c r="F47" s="5" t="s">
        <v>17</v>
      </c>
      <c r="G47" s="6" t="s">
        <v>78</v>
      </c>
      <c r="H47" s="5" t="s">
        <v>41</v>
      </c>
    </row>
    <row r="48" spans="1:8">
      <c r="A48" s="5" t="s">
        <v>42</v>
      </c>
      <c r="B48" s="5">
        <v>1.0593999999999999E-11</v>
      </c>
      <c r="C48" s="5" t="s">
        <v>8</v>
      </c>
      <c r="D48" s="5" t="s">
        <v>13</v>
      </c>
      <c r="E48" s="5"/>
      <c r="F48" s="5" t="s">
        <v>17</v>
      </c>
      <c r="G48" s="5" t="s">
        <v>43</v>
      </c>
      <c r="H48" s="5" t="s">
        <v>44</v>
      </c>
    </row>
    <row r="49" spans="1:8">
      <c r="A49" s="5" t="s">
        <v>27</v>
      </c>
      <c r="B49" s="5">
        <v>1.3798099999999999E-16</v>
      </c>
      <c r="C49" s="5" t="s">
        <v>8</v>
      </c>
      <c r="D49" s="5" t="s">
        <v>13</v>
      </c>
      <c r="E49" s="5"/>
      <c r="F49" s="5" t="s">
        <v>17</v>
      </c>
      <c r="G49" s="5" t="s">
        <v>45</v>
      </c>
      <c r="H49" s="5" t="s">
        <v>28</v>
      </c>
    </row>
    <row r="50" spans="1:8">
      <c r="A50" s="5" t="s">
        <v>46</v>
      </c>
      <c r="B50" s="5">
        <v>1.0593999999999999E-11</v>
      </c>
      <c r="C50" s="5" t="s">
        <v>8</v>
      </c>
      <c r="D50" s="5" t="s">
        <v>13</v>
      </c>
      <c r="E50" s="5"/>
      <c r="F50" s="5" t="s">
        <v>17</v>
      </c>
      <c r="G50" s="5" t="s">
        <v>43</v>
      </c>
      <c r="H50" s="5" t="s">
        <v>47</v>
      </c>
    </row>
    <row r="51" spans="1:8">
      <c r="A51" s="5" t="s">
        <v>48</v>
      </c>
      <c r="B51" s="5">
        <f>(parameters!D10*parameters!D6/1000)*parameters!D9</f>
        <v>1.4850480349344981E-5</v>
      </c>
      <c r="C51" s="12" t="s">
        <v>131</v>
      </c>
      <c r="D51" s="5" t="s">
        <v>21</v>
      </c>
      <c r="E51" s="5"/>
      <c r="F51" s="5" t="s">
        <v>17</v>
      </c>
      <c r="G51" s="6" t="s">
        <v>79</v>
      </c>
      <c r="H51" s="5" t="s">
        <v>49</v>
      </c>
    </row>
    <row r="52" spans="1:8">
      <c r="A52" s="5" t="s">
        <v>20</v>
      </c>
      <c r="B52" s="5">
        <f>((parameters!D15*parameters!D6/1000)*parameters!D9)+((parameters!D16*parameters!D6/1000)*(1-parameters!D9))</f>
        <v>4.761764192139738E-5</v>
      </c>
      <c r="C52" s="5"/>
      <c r="D52" s="5" t="s">
        <v>21</v>
      </c>
      <c r="E52" s="5" t="s">
        <v>30</v>
      </c>
      <c r="F52" s="5" t="s">
        <v>22</v>
      </c>
      <c r="G52" s="6" t="s">
        <v>80</v>
      </c>
      <c r="H52" s="5"/>
    </row>
    <row r="53" spans="1:8">
      <c r="A53" s="5" t="s">
        <v>31</v>
      </c>
      <c r="B53" s="5">
        <f>(parameters!D22/1000)*parameters!D8</f>
        <v>3.4876800000000001E-4</v>
      </c>
      <c r="C53" s="5"/>
      <c r="D53" s="5" t="s">
        <v>21</v>
      </c>
      <c r="E53" s="5" t="s">
        <v>30</v>
      </c>
      <c r="F53" s="5" t="s">
        <v>22</v>
      </c>
      <c r="G53" s="6" t="s">
        <v>81</v>
      </c>
      <c r="H53" s="5"/>
    </row>
    <row r="54" spans="1:8">
      <c r="A54" s="5" t="s">
        <v>32</v>
      </c>
      <c r="B54" s="5">
        <f>(parameters!D24/1000)*parameters!D8</f>
        <v>2.8000000000000002E-7</v>
      </c>
      <c r="C54" s="5"/>
      <c r="D54" s="5" t="s">
        <v>21</v>
      </c>
      <c r="E54" s="5" t="s">
        <v>30</v>
      </c>
      <c r="F54" s="5" t="s">
        <v>22</v>
      </c>
      <c r="G54" s="6" t="s">
        <v>81</v>
      </c>
      <c r="H54" s="5"/>
    </row>
    <row r="55" spans="1:8">
      <c r="A55" s="5" t="s">
        <v>23</v>
      </c>
      <c r="B55" s="5">
        <f>((parameters!D6*parameters!D12/1000)*parameters!D9)+((parameters!D6*parameters!D13/1000)*(1-parameters!D9))+((parameters!D8/1000)*parameters!D23)</f>
        <v>1.2363930829694324E-5</v>
      </c>
      <c r="C55" s="5"/>
      <c r="D55" s="5" t="s">
        <v>21</v>
      </c>
      <c r="E55" s="5" t="s">
        <v>30</v>
      </c>
      <c r="F55" s="5" t="s">
        <v>22</v>
      </c>
      <c r="G55" s="6" t="s">
        <v>82</v>
      </c>
      <c r="H55" s="5"/>
    </row>
    <row r="56" spans="1:8">
      <c r="A56" s="5" t="s">
        <v>33</v>
      </c>
      <c r="B56" s="5">
        <f>(parameters!D8/1000)*parameters!D25</f>
        <v>1.4E-8</v>
      </c>
      <c r="C56" s="5"/>
      <c r="D56" s="5" t="s">
        <v>21</v>
      </c>
      <c r="E56" s="5" t="s">
        <v>30</v>
      </c>
      <c r="F56" s="5" t="s">
        <v>22</v>
      </c>
      <c r="G56" s="5" t="s">
        <v>54</v>
      </c>
      <c r="H56" s="5"/>
    </row>
    <row r="57" spans="1:8">
      <c r="A57" s="5" t="s">
        <v>24</v>
      </c>
      <c r="B57" s="5">
        <f>parameters!D32*parameters!D8/1000</f>
        <v>1.4000000000000001E-7</v>
      </c>
      <c r="C57" s="5"/>
      <c r="D57" s="5" t="s">
        <v>21</v>
      </c>
      <c r="E57" s="5" t="s">
        <v>30</v>
      </c>
      <c r="F57" s="5" t="s">
        <v>22</v>
      </c>
      <c r="G57" s="5" t="s">
        <v>54</v>
      </c>
      <c r="H57" s="5"/>
    </row>
    <row r="58" spans="1:8">
      <c r="A58" s="5" t="s">
        <v>25</v>
      </c>
      <c r="B58" s="5">
        <f>((parameters!D6*parameters!D17/1000)*parameters!D9)+((parameters!D6*parameters!D18/1000)*(1-parameters!D9))+((parameters!D8/1000*parameters!D27)*(parameters!D9))+((parameters!D8/1000)*parameters!D28)*(1-parameters!D9)</f>
        <v>1.723990131004367E-4</v>
      </c>
      <c r="C58" s="5"/>
      <c r="D58" s="5" t="s">
        <v>21</v>
      </c>
      <c r="E58" s="5" t="s">
        <v>30</v>
      </c>
      <c r="F58" s="5" t="s">
        <v>22</v>
      </c>
      <c r="G58" s="6" t="s">
        <v>82</v>
      </c>
      <c r="H58" s="5"/>
    </row>
    <row r="59" spans="1:8">
      <c r="A59" s="5" t="s">
        <v>26</v>
      </c>
      <c r="B59" s="5">
        <f>parameters!D8*parameters!D30/1000</f>
        <v>4.3399999999999998E-8</v>
      </c>
      <c r="C59" s="5"/>
      <c r="D59" s="5" t="s">
        <v>21</v>
      </c>
      <c r="E59" s="5" t="s">
        <v>30</v>
      </c>
      <c r="F59" s="5" t="s">
        <v>22</v>
      </c>
      <c r="G59" s="5" t="s">
        <v>54</v>
      </c>
      <c r="H59" s="5"/>
    </row>
    <row r="60" spans="1:8">
      <c r="A60" s="5" t="s">
        <v>34</v>
      </c>
      <c r="B60" s="5">
        <f>parameters!D31*parameters!D8/1000</f>
        <v>4.2000000000000004E-9</v>
      </c>
      <c r="C60" s="5"/>
      <c r="D60" s="5" t="s">
        <v>21</v>
      </c>
      <c r="E60" s="5" t="s">
        <v>30</v>
      </c>
      <c r="F60" s="5" t="s">
        <v>22</v>
      </c>
      <c r="G60" s="5" t="s">
        <v>54</v>
      </c>
      <c r="H60" s="5"/>
    </row>
    <row r="61" spans="1:8">
      <c r="A61" s="5" t="s">
        <v>35</v>
      </c>
      <c r="B61" s="5">
        <f>parameters!D8*parameters!D29/1000</f>
        <v>1.2599999999999999E-7</v>
      </c>
      <c r="C61" s="5"/>
      <c r="D61" s="5" t="s">
        <v>21</v>
      </c>
      <c r="E61" s="5" t="s">
        <v>30</v>
      </c>
      <c r="F61" s="5" t="s">
        <v>22</v>
      </c>
      <c r="G61" s="5" t="s">
        <v>54</v>
      </c>
      <c r="H61" s="5"/>
    </row>
    <row r="63" spans="1:8" ht="15.75">
      <c r="A63" s="4" t="s">
        <v>2</v>
      </c>
      <c r="B63" s="4" t="s">
        <v>211</v>
      </c>
      <c r="C63" s="5"/>
      <c r="D63" s="5"/>
      <c r="E63" s="5"/>
      <c r="F63" s="5"/>
      <c r="G63" s="5"/>
      <c r="H63" s="5"/>
    </row>
    <row r="64" spans="1:8">
      <c r="A64" s="5" t="s">
        <v>3</v>
      </c>
      <c r="B64" s="5" t="s">
        <v>29</v>
      </c>
      <c r="C64" s="5"/>
      <c r="D64" s="5"/>
      <c r="E64" s="5"/>
      <c r="F64" s="5"/>
      <c r="G64" s="5"/>
      <c r="H64" s="5"/>
    </row>
    <row r="65" spans="1:8">
      <c r="A65" s="5" t="s">
        <v>4</v>
      </c>
      <c r="B65" s="5" t="s">
        <v>1</v>
      </c>
      <c r="C65" s="5"/>
      <c r="D65" s="5"/>
      <c r="E65" s="5"/>
      <c r="F65" s="5"/>
      <c r="G65" s="5"/>
      <c r="H65" s="5"/>
    </row>
    <row r="66" spans="1:8">
      <c r="A66" s="5" t="s">
        <v>5</v>
      </c>
      <c r="B66" s="5" t="s">
        <v>53</v>
      </c>
      <c r="C66" s="5"/>
      <c r="D66" s="5"/>
      <c r="E66" s="5"/>
      <c r="F66" s="5"/>
      <c r="G66" s="5"/>
      <c r="H66" s="5"/>
    </row>
    <row r="67" spans="1:8" ht="21" customHeight="1">
      <c r="A67" s="5" t="s">
        <v>6</v>
      </c>
      <c r="B67" s="11" t="s">
        <v>129</v>
      </c>
      <c r="C67" s="5"/>
      <c r="D67" s="5"/>
      <c r="E67" s="5"/>
      <c r="F67" s="5"/>
      <c r="G67" s="5"/>
      <c r="H67" s="5"/>
    </row>
    <row r="68" spans="1:8">
      <c r="A68" s="5" t="s">
        <v>51</v>
      </c>
      <c r="B68" s="5" t="s">
        <v>52</v>
      </c>
      <c r="C68" s="5"/>
      <c r="D68" s="5"/>
      <c r="E68" s="5"/>
      <c r="F68" s="5"/>
      <c r="G68" s="5"/>
      <c r="H68" s="5"/>
    </row>
    <row r="69" spans="1:8">
      <c r="A69" s="5" t="s">
        <v>7</v>
      </c>
      <c r="B69" s="5" t="s">
        <v>8</v>
      </c>
      <c r="C69" s="5"/>
      <c r="D69" s="5"/>
      <c r="E69" s="5"/>
      <c r="F69" s="5"/>
      <c r="G69" s="5"/>
      <c r="H69" s="5"/>
    </row>
    <row r="70" spans="1:8">
      <c r="A70" s="5" t="s">
        <v>14</v>
      </c>
      <c r="B70" s="12" t="s">
        <v>211</v>
      </c>
      <c r="C70" s="5"/>
      <c r="D70" s="5"/>
      <c r="E70" s="5"/>
      <c r="F70" s="5"/>
      <c r="G70" s="5"/>
      <c r="H70" s="5"/>
    </row>
    <row r="71" spans="1:8">
      <c r="A71" s="5" t="s">
        <v>13</v>
      </c>
      <c r="B71" s="5" t="s">
        <v>15</v>
      </c>
      <c r="C71" s="5"/>
      <c r="D71" s="5"/>
      <c r="E71" s="5"/>
      <c r="F71" s="5"/>
      <c r="G71" s="5"/>
      <c r="H71" s="5"/>
    </row>
    <row r="72" spans="1:8" ht="15.75">
      <c r="A72" s="4" t="s">
        <v>10</v>
      </c>
      <c r="B72" s="5"/>
      <c r="C72" s="5"/>
      <c r="D72" s="5"/>
      <c r="E72" s="5"/>
      <c r="F72" s="5"/>
      <c r="G72" s="5"/>
      <c r="H72" s="5"/>
    </row>
    <row r="73" spans="1:8">
      <c r="A73" s="5" t="s">
        <v>11</v>
      </c>
      <c r="B73" s="5" t="s">
        <v>12</v>
      </c>
      <c r="C73" s="5" t="s">
        <v>7</v>
      </c>
      <c r="D73" s="5" t="s">
        <v>13</v>
      </c>
      <c r="E73" s="5" t="s">
        <v>19</v>
      </c>
      <c r="F73" s="5" t="s">
        <v>9</v>
      </c>
      <c r="G73" s="5" t="s">
        <v>6</v>
      </c>
      <c r="H73" s="5" t="s">
        <v>14</v>
      </c>
    </row>
    <row r="74" spans="1:8">
      <c r="A74" s="6" t="str">
        <f>B70</f>
        <v>transport, freight, sea, tanker for liquefied ammonia, mdo</v>
      </c>
      <c r="B74" s="14">
        <v>1</v>
      </c>
      <c r="C74" s="5" t="s">
        <v>8</v>
      </c>
      <c r="D74" s="5" t="s">
        <v>15</v>
      </c>
      <c r="E74" s="5"/>
      <c r="F74" s="5" t="s">
        <v>16</v>
      </c>
      <c r="G74" s="5"/>
      <c r="H74" s="5" t="str">
        <f>A74</f>
        <v>transport, freight, sea, tanker for liquefied ammonia, mdo</v>
      </c>
    </row>
    <row r="75" spans="1:8">
      <c r="A75" s="5" t="s">
        <v>37</v>
      </c>
      <c r="B75" s="14">
        <v>-1.2999999999999999E-5</v>
      </c>
      <c r="C75" s="12" t="s">
        <v>131</v>
      </c>
      <c r="D75" s="5" t="s">
        <v>21</v>
      </c>
      <c r="E75" s="5"/>
      <c r="F75" s="5" t="s">
        <v>17</v>
      </c>
      <c r="G75" s="5" t="s">
        <v>38</v>
      </c>
      <c r="H75" s="5" t="s">
        <v>39</v>
      </c>
    </row>
    <row r="76" spans="1:8">
      <c r="A76" s="5" t="s">
        <v>40</v>
      </c>
      <c r="B76" s="14">
        <f>(parameters!C7+parameters!C5)/1000</f>
        <v>2.3197999999999999E-3</v>
      </c>
      <c r="C76" s="12" t="s">
        <v>131</v>
      </c>
      <c r="D76" s="5" t="s">
        <v>21</v>
      </c>
      <c r="E76" s="5"/>
      <c r="F76" s="5" t="s">
        <v>17</v>
      </c>
      <c r="G76" s="12" t="s">
        <v>212</v>
      </c>
      <c r="H76" s="5" t="s">
        <v>41</v>
      </c>
    </row>
    <row r="77" spans="1:8">
      <c r="A77" s="5" t="s">
        <v>42</v>
      </c>
      <c r="B77" s="14">
        <v>1.0593999999999999E-11</v>
      </c>
      <c r="C77" s="5" t="s">
        <v>8</v>
      </c>
      <c r="D77" s="5" t="s">
        <v>13</v>
      </c>
      <c r="E77" s="5"/>
      <c r="F77" s="5" t="s">
        <v>17</v>
      </c>
      <c r="G77" s="5" t="s">
        <v>43</v>
      </c>
      <c r="H77" s="5" t="s">
        <v>44</v>
      </c>
    </row>
    <row r="78" spans="1:8">
      <c r="A78" s="5" t="s">
        <v>27</v>
      </c>
      <c r="B78" s="14">
        <v>1.3798099999999999E-16</v>
      </c>
      <c r="C78" s="5" t="s">
        <v>8</v>
      </c>
      <c r="D78" s="5" t="s">
        <v>13</v>
      </c>
      <c r="E78" s="5"/>
      <c r="F78" s="5" t="s">
        <v>17</v>
      </c>
      <c r="G78" s="5" t="s">
        <v>45</v>
      </c>
      <c r="H78" s="5" t="s">
        <v>28</v>
      </c>
    </row>
    <row r="79" spans="1:8">
      <c r="A79" s="5" t="s">
        <v>46</v>
      </c>
      <c r="B79" s="14">
        <v>1.0593999999999999E-11</v>
      </c>
      <c r="C79" s="5" t="s">
        <v>8</v>
      </c>
      <c r="D79" s="5" t="s">
        <v>13</v>
      </c>
      <c r="E79" s="5"/>
      <c r="F79" s="5" t="s">
        <v>17</v>
      </c>
      <c r="G79" s="5" t="s">
        <v>43</v>
      </c>
      <c r="H79" s="5" t="s">
        <v>47</v>
      </c>
    </row>
    <row r="80" spans="1:8">
      <c r="A80" s="5" t="s">
        <v>48</v>
      </c>
      <c r="B80" s="14">
        <f>(parameters!C10*parameters!C6/1000)*parameters!C9</f>
        <v>1.4850480349344981E-5</v>
      </c>
      <c r="C80" s="12" t="s">
        <v>131</v>
      </c>
      <c r="D80" s="5" t="s">
        <v>21</v>
      </c>
      <c r="E80" s="5"/>
      <c r="F80" s="5" t="s">
        <v>17</v>
      </c>
      <c r="G80" s="6" t="s">
        <v>79</v>
      </c>
      <c r="H80" s="5" t="s">
        <v>49</v>
      </c>
    </row>
    <row r="81" spans="1:12">
      <c r="A81" s="5" t="s">
        <v>31</v>
      </c>
      <c r="B81" s="14">
        <f>(parameters!C22/1000)*(parameters!C8+parameters!C6)</f>
        <v>6.875712E-3</v>
      </c>
      <c r="C81" s="5"/>
      <c r="D81" s="5" t="s">
        <v>21</v>
      </c>
      <c r="E81" s="5" t="s">
        <v>30</v>
      </c>
      <c r="F81" s="5" t="s">
        <v>22</v>
      </c>
      <c r="G81" s="6" t="s">
        <v>81</v>
      </c>
      <c r="H81" s="5"/>
    </row>
    <row r="82" spans="1:12">
      <c r="A82" s="5" t="s">
        <v>32</v>
      </c>
      <c r="B82" s="14">
        <f>(parameters!C24/1000)*(parameters!C8+parameters!C6)</f>
        <v>5.5200000000000005E-6</v>
      </c>
      <c r="C82" s="5"/>
      <c r="D82" s="5" t="s">
        <v>21</v>
      </c>
      <c r="E82" s="5" t="s">
        <v>30</v>
      </c>
      <c r="F82" s="5" t="s">
        <v>22</v>
      </c>
      <c r="G82" s="6" t="s">
        <v>81</v>
      </c>
      <c r="H82" s="5"/>
    </row>
    <row r="83" spans="1:12">
      <c r="A83" s="5" t="s">
        <v>23</v>
      </c>
      <c r="B83" s="14">
        <f>(((parameters!C6+parameters!C8)/1000)*parameters!C23)</f>
        <v>3.7535999999999999E-7</v>
      </c>
      <c r="C83" s="5"/>
      <c r="D83" s="5" t="s">
        <v>21</v>
      </c>
      <c r="E83" s="5" t="s">
        <v>30</v>
      </c>
      <c r="F83" s="5" t="s">
        <v>22</v>
      </c>
      <c r="G83" s="6" t="s">
        <v>82</v>
      </c>
      <c r="H83" s="5"/>
    </row>
    <row r="84" spans="1:12">
      <c r="A84" s="5" t="s">
        <v>33</v>
      </c>
      <c r="B84" s="14">
        <f>((parameters!C6+parameters!C8)/1000)*parameters!C25</f>
        <v>2.7599999999999998E-7</v>
      </c>
      <c r="C84" s="5"/>
      <c r="D84" s="5" t="s">
        <v>21</v>
      </c>
      <c r="E84" s="5" t="s">
        <v>30</v>
      </c>
      <c r="F84" s="5" t="s">
        <v>22</v>
      </c>
      <c r="G84" s="5" t="s">
        <v>54</v>
      </c>
      <c r="H84" s="5"/>
    </row>
    <row r="85" spans="1:12">
      <c r="A85" s="5" t="s">
        <v>24</v>
      </c>
      <c r="B85" s="14">
        <f>parameters!C32*(parameters!C8+parameters!C6)/1000</f>
        <v>2.7600000000000003E-6</v>
      </c>
      <c r="C85" s="5"/>
      <c r="D85" s="5" t="s">
        <v>21</v>
      </c>
      <c r="E85" s="5" t="s">
        <v>30</v>
      </c>
      <c r="F85" s="5" t="s">
        <v>22</v>
      </c>
      <c r="G85" s="5" t="s">
        <v>54</v>
      </c>
      <c r="H85" s="5"/>
    </row>
    <row r="86" spans="1:12">
      <c r="A86" s="5" t="s">
        <v>25</v>
      </c>
      <c r="B86" s="14">
        <f>(((parameters!C8+parameters!C6)/1000)*parameters!C27)*(parameters!C9)+(((parameters!C8+parameters!C6)/1000)*parameters!C28)*(1-parameters!C9)</f>
        <v>3.6827318777292575E-4</v>
      </c>
      <c r="C86" s="5"/>
      <c r="D86" s="5" t="s">
        <v>21</v>
      </c>
      <c r="E86" s="5" t="s">
        <v>30</v>
      </c>
      <c r="F86" s="5" t="s">
        <v>22</v>
      </c>
      <c r="G86" s="6" t="s">
        <v>82</v>
      </c>
      <c r="H86" s="5"/>
    </row>
    <row r="87" spans="1:12">
      <c r="A87" s="5" t="s">
        <v>26</v>
      </c>
      <c r="B87" s="14">
        <f>parameters!C8*parameters!C30/1000</f>
        <v>4.3399999999999998E-8</v>
      </c>
      <c r="C87" s="5"/>
      <c r="D87" s="5" t="s">
        <v>21</v>
      </c>
      <c r="E87" s="5" t="s">
        <v>30</v>
      </c>
      <c r="F87" s="5" t="s">
        <v>22</v>
      </c>
      <c r="G87" s="5" t="s">
        <v>54</v>
      </c>
      <c r="H87" s="5"/>
    </row>
    <row r="88" spans="1:12">
      <c r="A88" s="5" t="s">
        <v>34</v>
      </c>
      <c r="B88" s="14">
        <f>parameters!C31*parameters!C8/1000</f>
        <v>4.2000000000000004E-9</v>
      </c>
      <c r="C88" s="5"/>
      <c r="D88" s="5" t="s">
        <v>21</v>
      </c>
      <c r="E88" s="5" t="s">
        <v>30</v>
      </c>
      <c r="F88" s="5" t="s">
        <v>22</v>
      </c>
      <c r="G88" s="5" t="s">
        <v>54</v>
      </c>
      <c r="H88" s="5"/>
    </row>
    <row r="89" spans="1:12">
      <c r="A89" s="5" t="s">
        <v>35</v>
      </c>
      <c r="B89" s="14">
        <f>parameters!C8*parameters!C29/1000</f>
        <v>1.2599999999999999E-7</v>
      </c>
      <c r="C89" s="5"/>
      <c r="D89" s="5" t="s">
        <v>21</v>
      </c>
      <c r="E89" s="5" t="s">
        <v>30</v>
      </c>
      <c r="F89" s="5" t="s">
        <v>22</v>
      </c>
      <c r="G89" s="5" t="s">
        <v>54</v>
      </c>
      <c r="H89" s="5"/>
    </row>
    <row r="91" spans="1:12">
      <c r="A91" s="15" t="s">
        <v>2</v>
      </c>
      <c r="B91" s="13" t="s">
        <v>132</v>
      </c>
      <c r="C91" s="15"/>
      <c r="D91" s="15"/>
      <c r="E91" s="15"/>
      <c r="F91" s="15"/>
      <c r="G91" s="15"/>
      <c r="H91" s="15"/>
      <c r="I91" s="15"/>
      <c r="J91" s="15"/>
      <c r="K91" s="15"/>
      <c r="L91" s="15"/>
    </row>
    <row r="92" spans="1:12">
      <c r="A92" s="15" t="s">
        <v>6</v>
      </c>
      <c r="B92" s="15" t="s">
        <v>182</v>
      </c>
      <c r="C92" s="15"/>
      <c r="D92" s="15"/>
      <c r="E92" s="15"/>
      <c r="F92" s="15"/>
      <c r="G92" s="15"/>
      <c r="H92" s="15"/>
      <c r="I92" s="15"/>
      <c r="J92" s="15"/>
      <c r="K92" s="15"/>
      <c r="L92" s="15"/>
    </row>
    <row r="93" spans="1:12">
      <c r="A93" s="15" t="s">
        <v>51</v>
      </c>
      <c r="B93" s="15" t="s">
        <v>204</v>
      </c>
      <c r="C93" s="15"/>
      <c r="D93" s="15"/>
      <c r="E93" s="15"/>
      <c r="F93" s="15"/>
      <c r="G93" s="15"/>
      <c r="H93" s="15"/>
      <c r="I93" s="15"/>
      <c r="J93" s="15"/>
      <c r="K93" s="15"/>
      <c r="L93" s="15"/>
    </row>
    <row r="94" spans="1:12">
      <c r="A94" s="5" t="s">
        <v>5</v>
      </c>
      <c r="B94" s="5" t="s">
        <v>53</v>
      </c>
      <c r="C94" s="5"/>
      <c r="D94" s="5"/>
      <c r="E94" s="5"/>
      <c r="F94" s="5"/>
      <c r="G94" s="5"/>
      <c r="H94" s="15"/>
      <c r="I94" s="15"/>
      <c r="J94" s="15"/>
      <c r="K94" s="15"/>
      <c r="L94" s="15"/>
    </row>
    <row r="95" spans="1:12">
      <c r="A95" s="15" t="s">
        <v>7</v>
      </c>
      <c r="B95" s="15" t="s">
        <v>8</v>
      </c>
      <c r="C95" s="15"/>
      <c r="D95" s="15"/>
      <c r="E95" s="15"/>
      <c r="F95" s="15"/>
      <c r="G95" s="15"/>
      <c r="H95" s="15"/>
      <c r="I95" s="15"/>
      <c r="J95" s="15"/>
      <c r="K95" s="15"/>
      <c r="L95" s="15"/>
    </row>
    <row r="96" spans="1:12">
      <c r="A96" s="15" t="s">
        <v>14</v>
      </c>
      <c r="B96" s="15" t="s">
        <v>132</v>
      </c>
      <c r="C96" s="15"/>
      <c r="D96" s="15"/>
      <c r="E96" s="15"/>
      <c r="F96" s="15"/>
      <c r="G96" s="15"/>
      <c r="H96" s="15"/>
      <c r="I96" s="15"/>
      <c r="J96" s="15"/>
      <c r="K96" s="15"/>
      <c r="L96" s="15"/>
    </row>
    <row r="97" spans="1:12">
      <c r="A97" s="15" t="s">
        <v>13</v>
      </c>
      <c r="B97" s="15" t="s">
        <v>21</v>
      </c>
      <c r="C97" s="15"/>
      <c r="D97" s="15"/>
      <c r="E97" s="15"/>
      <c r="F97" s="15"/>
      <c r="G97" s="15"/>
      <c r="H97" s="15"/>
      <c r="I97" s="15"/>
      <c r="J97" s="15"/>
      <c r="K97" s="15"/>
      <c r="L97" s="15"/>
    </row>
    <row r="98" spans="1:12">
      <c r="A98" s="15" t="s">
        <v>10</v>
      </c>
      <c r="B98" s="15"/>
      <c r="C98" s="15"/>
      <c r="D98" s="15"/>
      <c r="E98" s="15"/>
      <c r="F98" s="15"/>
      <c r="G98" s="15"/>
      <c r="H98" s="15"/>
      <c r="I98" s="15"/>
      <c r="J98" s="15"/>
      <c r="K98" s="15"/>
      <c r="L98" s="15"/>
    </row>
    <row r="99" spans="1:12">
      <c r="A99" s="15" t="s">
        <v>11</v>
      </c>
      <c r="B99" s="15" t="s">
        <v>12</v>
      </c>
      <c r="C99" s="15" t="s">
        <v>7</v>
      </c>
      <c r="D99" s="15" t="s">
        <v>13</v>
      </c>
      <c r="E99" s="15" t="s">
        <v>19</v>
      </c>
      <c r="F99" s="15" t="s">
        <v>9</v>
      </c>
      <c r="G99" s="15" t="s">
        <v>14</v>
      </c>
      <c r="H99" s="15" t="s">
        <v>6</v>
      </c>
      <c r="I99" s="15" t="s">
        <v>18</v>
      </c>
      <c r="J99" s="15" t="s">
        <v>133</v>
      </c>
      <c r="K99" s="15" t="s">
        <v>134</v>
      </c>
      <c r="L99" s="15" t="s">
        <v>135</v>
      </c>
    </row>
    <row r="100" spans="1:12">
      <c r="A100" s="15" t="s">
        <v>132</v>
      </c>
      <c r="B100" s="16">
        <v>1</v>
      </c>
      <c r="C100" s="15" t="s">
        <v>8</v>
      </c>
      <c r="D100" s="15" t="str">
        <f>B97</f>
        <v>kilogram</v>
      </c>
      <c r="E100" s="15"/>
      <c r="F100" s="15" t="s">
        <v>16</v>
      </c>
      <c r="G100" s="15" t="s">
        <v>132</v>
      </c>
      <c r="H100" s="15" t="s">
        <v>136</v>
      </c>
      <c r="I100" s="15"/>
      <c r="J100" s="15"/>
      <c r="K100" s="15"/>
      <c r="L100" s="15"/>
    </row>
    <row r="101" spans="1:12" ht="15.75">
      <c r="A101" s="3" t="s">
        <v>64</v>
      </c>
      <c r="B101">
        <f>B104</f>
        <v>1.6199999999999999E-2</v>
      </c>
      <c r="C101" t="s">
        <v>67</v>
      </c>
      <c r="D101" t="s">
        <v>21</v>
      </c>
      <c r="F101" t="s">
        <v>17</v>
      </c>
      <c r="G101" t="s">
        <v>65</v>
      </c>
      <c r="H101" t="s">
        <v>72</v>
      </c>
    </row>
    <row r="102" spans="1:12">
      <c r="A102" s="15" t="s">
        <v>137</v>
      </c>
      <c r="B102" s="17">
        <v>3.4299999999999999E-9</v>
      </c>
      <c r="C102" s="15" t="s">
        <v>8</v>
      </c>
      <c r="D102" s="15" t="s">
        <v>13</v>
      </c>
      <c r="E102" s="15"/>
      <c r="F102" s="15" t="s">
        <v>17</v>
      </c>
      <c r="G102" s="15" t="s">
        <v>137</v>
      </c>
      <c r="H102" s="15" t="s">
        <v>138</v>
      </c>
      <c r="I102" s="15"/>
      <c r="J102" s="15"/>
      <c r="K102" s="15"/>
      <c r="L102" s="15"/>
    </row>
    <row r="103" spans="1:12">
      <c r="A103" s="15" t="s">
        <v>139</v>
      </c>
      <c r="B103" s="16">
        <v>10.5</v>
      </c>
      <c r="C103" s="15" t="s">
        <v>8</v>
      </c>
      <c r="D103" s="15" t="s">
        <v>66</v>
      </c>
      <c r="E103" s="15"/>
      <c r="F103" s="15" t="s">
        <v>17</v>
      </c>
      <c r="G103" s="15" t="s">
        <v>157</v>
      </c>
      <c r="H103" s="15"/>
      <c r="I103" s="15"/>
      <c r="J103" s="15"/>
      <c r="K103" s="15"/>
      <c r="L103" s="15"/>
    </row>
    <row r="104" spans="1:12">
      <c r="A104" s="15" t="s">
        <v>69</v>
      </c>
      <c r="B104" s="16">
        <v>1.6199999999999999E-2</v>
      </c>
      <c r="C104" s="15"/>
      <c r="D104" s="15" t="s">
        <v>21</v>
      </c>
      <c r="E104" s="12" t="s">
        <v>30</v>
      </c>
      <c r="F104" s="15" t="s">
        <v>22</v>
      </c>
      <c r="G104" s="15"/>
      <c r="H104" s="15"/>
      <c r="I104" s="15"/>
      <c r="J104" s="15"/>
      <c r="K104" s="15"/>
      <c r="L104" s="15"/>
    </row>
    <row r="105" spans="1:12">
      <c r="A105" s="15"/>
      <c r="B105" s="15"/>
      <c r="C105" s="15"/>
      <c r="D105" s="15"/>
      <c r="E105" s="15"/>
      <c r="F105" s="15"/>
      <c r="G105" s="15"/>
      <c r="H105" s="15"/>
      <c r="I105" s="15"/>
      <c r="J105" s="15"/>
      <c r="K105" s="15"/>
      <c r="L105" s="15"/>
    </row>
    <row r="106" spans="1:12">
      <c r="A106" s="15" t="s">
        <v>2</v>
      </c>
      <c r="B106" s="13" t="s">
        <v>137</v>
      </c>
      <c r="C106" s="15"/>
      <c r="D106" s="15"/>
      <c r="E106" s="15"/>
      <c r="F106" s="15"/>
      <c r="G106" s="15"/>
      <c r="H106" s="15"/>
      <c r="I106" s="15"/>
      <c r="J106" s="15"/>
      <c r="K106" s="15"/>
      <c r="L106" s="15"/>
    </row>
    <row r="107" spans="1:12">
      <c r="A107" s="15" t="s">
        <v>6</v>
      </c>
      <c r="B107" s="15" t="s">
        <v>183</v>
      </c>
      <c r="C107" s="15"/>
      <c r="D107" s="15"/>
      <c r="E107" s="15"/>
      <c r="F107" s="15"/>
      <c r="G107" s="15"/>
      <c r="H107" s="15"/>
      <c r="I107" s="15"/>
      <c r="J107" s="15"/>
      <c r="K107" s="15"/>
      <c r="L107" s="15"/>
    </row>
    <row r="108" spans="1:12">
      <c r="A108" s="15" t="s">
        <v>51</v>
      </c>
      <c r="B108" s="15" t="s">
        <v>205</v>
      </c>
      <c r="C108" s="15"/>
      <c r="D108" s="15"/>
      <c r="E108" s="15"/>
      <c r="F108" s="15"/>
      <c r="G108" s="15"/>
      <c r="H108" s="15"/>
      <c r="I108" s="15"/>
      <c r="J108" s="15"/>
      <c r="K108" s="15"/>
      <c r="L108" s="15"/>
    </row>
    <row r="109" spans="1:12">
      <c r="A109" s="5" t="s">
        <v>5</v>
      </c>
      <c r="B109" s="5" t="s">
        <v>53</v>
      </c>
      <c r="C109" s="15"/>
      <c r="D109" s="15"/>
      <c r="E109" s="15"/>
      <c r="F109" s="15"/>
      <c r="G109" s="15"/>
      <c r="H109" s="15"/>
      <c r="I109" s="15"/>
      <c r="J109" s="15"/>
      <c r="K109" s="15"/>
      <c r="L109" s="15"/>
    </row>
    <row r="110" spans="1:12">
      <c r="A110" s="15" t="s">
        <v>7</v>
      </c>
      <c r="B110" s="15" t="s">
        <v>8</v>
      </c>
      <c r="C110" s="15"/>
      <c r="D110" s="15"/>
      <c r="E110" s="15"/>
      <c r="F110" s="15"/>
      <c r="G110" s="15"/>
      <c r="H110" s="15"/>
      <c r="I110" s="15"/>
      <c r="J110" s="15"/>
      <c r="K110" s="15"/>
      <c r="L110" s="15"/>
    </row>
    <row r="111" spans="1:12">
      <c r="A111" s="15" t="s">
        <v>14</v>
      </c>
      <c r="B111" s="15" t="s">
        <v>137</v>
      </c>
      <c r="C111" s="15"/>
      <c r="D111" s="15"/>
      <c r="E111" s="15"/>
      <c r="F111" s="15"/>
      <c r="G111" s="15"/>
      <c r="H111" s="15"/>
      <c r="I111" s="15"/>
      <c r="J111" s="15"/>
      <c r="K111" s="15"/>
      <c r="L111" s="15"/>
    </row>
    <row r="112" spans="1:12">
      <c r="A112" s="15" t="s">
        <v>13</v>
      </c>
      <c r="B112" s="15" t="s">
        <v>13</v>
      </c>
      <c r="C112" s="15"/>
      <c r="D112" s="15"/>
      <c r="E112" s="15"/>
      <c r="F112" s="15"/>
      <c r="G112" s="15"/>
      <c r="H112" s="15"/>
      <c r="I112" s="15"/>
      <c r="J112" s="15"/>
      <c r="K112" s="15"/>
      <c r="L112" s="15"/>
    </row>
    <row r="113" spans="1:12">
      <c r="A113" s="15" t="s">
        <v>10</v>
      </c>
      <c r="B113" s="15"/>
      <c r="C113" s="15"/>
      <c r="D113" s="15"/>
      <c r="E113" s="15"/>
      <c r="F113" s="15"/>
      <c r="G113" s="15"/>
      <c r="H113" s="15"/>
      <c r="I113" s="15"/>
      <c r="J113" s="15"/>
      <c r="K113" s="15"/>
      <c r="L113" s="15"/>
    </row>
    <row r="114" spans="1:12">
      <c r="A114" s="15" t="s">
        <v>11</v>
      </c>
      <c r="B114" s="15" t="s">
        <v>12</v>
      </c>
      <c r="C114" s="15" t="s">
        <v>7</v>
      </c>
      <c r="D114" s="15" t="s">
        <v>13</v>
      </c>
      <c r="E114" s="15" t="s">
        <v>19</v>
      </c>
      <c r="F114" s="15" t="s">
        <v>9</v>
      </c>
      <c r="G114" s="15" t="s">
        <v>14</v>
      </c>
      <c r="H114" s="15" t="s">
        <v>6</v>
      </c>
      <c r="I114" s="15" t="s">
        <v>18</v>
      </c>
      <c r="J114" s="15" t="s">
        <v>133</v>
      </c>
      <c r="K114" s="15" t="s">
        <v>134</v>
      </c>
      <c r="L114" s="15" t="s">
        <v>135</v>
      </c>
    </row>
    <row r="115" spans="1:12">
      <c r="A115" s="15" t="s">
        <v>137</v>
      </c>
      <c r="B115" s="16">
        <v>1</v>
      </c>
      <c r="C115" s="15" t="s">
        <v>8</v>
      </c>
      <c r="D115" s="15" t="s">
        <v>13</v>
      </c>
      <c r="E115" s="15"/>
      <c r="F115" s="15" t="s">
        <v>16</v>
      </c>
      <c r="G115" s="15" t="s">
        <v>137</v>
      </c>
      <c r="H115" s="15"/>
      <c r="I115" s="15"/>
      <c r="J115" s="15"/>
      <c r="K115" s="15"/>
      <c r="L115" s="15"/>
    </row>
    <row r="116" spans="1:12">
      <c r="A116" s="15" t="s">
        <v>140</v>
      </c>
      <c r="B116" s="16">
        <v>595000</v>
      </c>
      <c r="C116" s="15" t="s">
        <v>8</v>
      </c>
      <c r="D116" s="15" t="s">
        <v>21</v>
      </c>
      <c r="E116" s="15"/>
      <c r="F116" s="15" t="s">
        <v>17</v>
      </c>
      <c r="G116" s="15" t="s">
        <v>153</v>
      </c>
      <c r="H116" s="15"/>
      <c r="I116" s="15"/>
      <c r="J116" s="15"/>
      <c r="K116" s="15"/>
      <c r="L116" s="15"/>
    </row>
    <row r="117" spans="1:12">
      <c r="A117" s="15" t="s">
        <v>141</v>
      </c>
      <c r="B117" s="16">
        <v>380000</v>
      </c>
      <c r="C117" s="15" t="s">
        <v>8</v>
      </c>
      <c r="D117" s="15" t="s">
        <v>21</v>
      </c>
      <c r="E117" s="15"/>
      <c r="F117" s="15" t="s">
        <v>17</v>
      </c>
      <c r="G117" s="15" t="s">
        <v>154</v>
      </c>
      <c r="H117" s="15"/>
      <c r="I117" s="15"/>
      <c r="J117" s="15"/>
      <c r="K117" s="15"/>
      <c r="L117" s="15"/>
    </row>
    <row r="118" spans="1:12">
      <c r="A118" s="15" t="s">
        <v>158</v>
      </c>
      <c r="B118" s="16">
        <v>20300</v>
      </c>
      <c r="C118" s="15" t="s">
        <v>8</v>
      </c>
      <c r="D118" s="15" t="s">
        <v>142</v>
      </c>
      <c r="E118" s="15"/>
      <c r="F118" s="15" t="s">
        <v>17</v>
      </c>
      <c r="G118" s="15" t="s">
        <v>159</v>
      </c>
      <c r="H118" s="15"/>
      <c r="I118" s="15"/>
      <c r="J118" s="15"/>
      <c r="K118" s="15"/>
      <c r="L118" s="15"/>
    </row>
    <row r="119" spans="1:12">
      <c r="A119" s="15" t="s">
        <v>143</v>
      </c>
      <c r="B119" s="16">
        <v>150000</v>
      </c>
      <c r="C119" s="15" t="s">
        <v>8</v>
      </c>
      <c r="D119" s="15" t="s">
        <v>21</v>
      </c>
      <c r="E119" s="15"/>
      <c r="F119" s="15" t="s">
        <v>17</v>
      </c>
      <c r="G119" s="15" t="s">
        <v>155</v>
      </c>
      <c r="H119" s="15"/>
      <c r="I119" s="15"/>
      <c r="J119" s="15"/>
      <c r="K119" s="15"/>
      <c r="L119" s="15"/>
    </row>
    <row r="120" spans="1:12">
      <c r="A120" s="15" t="s">
        <v>144</v>
      </c>
      <c r="B120" s="16">
        <v>140000</v>
      </c>
      <c r="C120" s="15" t="s">
        <v>8</v>
      </c>
      <c r="D120" s="15" t="s">
        <v>21</v>
      </c>
      <c r="E120" s="15"/>
      <c r="F120" s="15" t="s">
        <v>17</v>
      </c>
      <c r="G120" s="15" t="s">
        <v>156</v>
      </c>
      <c r="H120" s="15"/>
      <c r="I120" s="15"/>
      <c r="J120" s="15"/>
      <c r="K120" s="15"/>
      <c r="L120" s="15"/>
    </row>
    <row r="121" spans="1:12">
      <c r="A121" s="15"/>
      <c r="B121" s="17"/>
      <c r="C121" s="15"/>
      <c r="D121" s="15"/>
      <c r="E121" s="15"/>
      <c r="F121" s="15"/>
      <c r="G121" s="15"/>
      <c r="H121" s="15"/>
      <c r="I121" s="15"/>
      <c r="J121" s="15"/>
      <c r="K121" s="15"/>
      <c r="L121" s="15"/>
    </row>
    <row r="122" spans="1:12">
      <c r="A122" s="15" t="s">
        <v>2</v>
      </c>
      <c r="B122" s="13" t="s">
        <v>193</v>
      </c>
      <c r="C122" s="15"/>
      <c r="D122" s="15"/>
      <c r="E122" s="15"/>
      <c r="F122" s="15"/>
      <c r="G122" s="15"/>
      <c r="H122" s="15"/>
      <c r="I122" s="15"/>
      <c r="J122" s="15"/>
      <c r="K122" s="15"/>
      <c r="L122" s="15"/>
    </row>
    <row r="123" spans="1:12">
      <c r="A123" s="15" t="s">
        <v>6</v>
      </c>
      <c r="B123" s="15" t="s">
        <v>194</v>
      </c>
      <c r="C123" s="15"/>
      <c r="D123" s="15"/>
      <c r="E123" s="15"/>
      <c r="F123" s="15"/>
      <c r="G123" s="15"/>
      <c r="H123" s="15"/>
      <c r="I123" s="15"/>
      <c r="J123" s="15"/>
      <c r="K123" s="15"/>
      <c r="L123" s="15"/>
    </row>
    <row r="124" spans="1:12">
      <c r="A124" s="15" t="s">
        <v>51</v>
      </c>
      <c r="B124" s="15" t="s">
        <v>196</v>
      </c>
      <c r="C124" s="15"/>
      <c r="D124" s="15"/>
      <c r="E124" s="15"/>
      <c r="F124" s="15"/>
      <c r="G124" s="15"/>
      <c r="H124" s="15"/>
      <c r="I124" s="15"/>
      <c r="J124" s="15"/>
      <c r="K124" s="15"/>
      <c r="L124" s="15"/>
    </row>
    <row r="125" spans="1:12">
      <c r="A125" s="5" t="s">
        <v>5</v>
      </c>
      <c r="B125" s="5" t="s">
        <v>53</v>
      </c>
      <c r="C125" s="15"/>
      <c r="D125" s="15"/>
      <c r="E125" s="15"/>
      <c r="F125" s="15"/>
      <c r="G125" s="15"/>
      <c r="H125" s="15"/>
      <c r="I125" s="15"/>
      <c r="J125" s="15"/>
      <c r="K125" s="15"/>
      <c r="L125" s="15"/>
    </row>
    <row r="126" spans="1:12">
      <c r="A126" s="15" t="s">
        <v>7</v>
      </c>
      <c r="B126" s="15" t="s">
        <v>8</v>
      </c>
      <c r="C126" s="15"/>
      <c r="D126" s="15"/>
      <c r="E126" s="15"/>
      <c r="F126" s="15"/>
      <c r="G126" s="15"/>
      <c r="H126" s="15"/>
      <c r="I126" s="15"/>
      <c r="J126" s="15"/>
      <c r="K126" s="15"/>
      <c r="L126" s="15"/>
    </row>
    <row r="127" spans="1:12">
      <c r="A127" s="15" t="s">
        <v>14</v>
      </c>
      <c r="B127" s="15" t="str">
        <f>B122</f>
        <v>liquid hydrogen regasification</v>
      </c>
      <c r="C127" s="15"/>
      <c r="D127" s="15"/>
      <c r="E127" s="15"/>
      <c r="F127" s="15"/>
      <c r="G127" s="15"/>
      <c r="H127" s="15"/>
      <c r="I127" s="15"/>
      <c r="J127" s="15"/>
      <c r="K127" s="15"/>
      <c r="L127" s="15"/>
    </row>
    <row r="128" spans="1:12">
      <c r="A128" s="15" t="s">
        <v>13</v>
      </c>
      <c r="B128" s="15" t="s">
        <v>21</v>
      </c>
      <c r="C128" s="15"/>
      <c r="D128" s="15"/>
      <c r="E128" s="15"/>
      <c r="F128" s="15"/>
      <c r="G128" s="15"/>
      <c r="H128" s="15"/>
      <c r="I128" s="15"/>
      <c r="J128" s="15"/>
      <c r="K128" s="15"/>
      <c r="L128" s="15"/>
    </row>
    <row r="129" spans="1:12">
      <c r="A129" s="15" t="s">
        <v>10</v>
      </c>
      <c r="B129" s="15"/>
      <c r="C129" s="15"/>
      <c r="D129" s="15"/>
      <c r="E129" s="15"/>
      <c r="F129" s="15"/>
      <c r="G129" s="15"/>
      <c r="H129" s="15"/>
      <c r="I129" s="15"/>
      <c r="J129" s="15"/>
      <c r="K129" s="15"/>
      <c r="L129" s="15"/>
    </row>
    <row r="130" spans="1:12">
      <c r="A130" s="15" t="s">
        <v>11</v>
      </c>
      <c r="B130" s="15" t="s">
        <v>12</v>
      </c>
      <c r="C130" s="15" t="s">
        <v>7</v>
      </c>
      <c r="D130" s="15" t="s">
        <v>13</v>
      </c>
      <c r="E130" s="15" t="s">
        <v>19</v>
      </c>
      <c r="F130" s="15" t="s">
        <v>9</v>
      </c>
      <c r="G130" s="15" t="s">
        <v>14</v>
      </c>
      <c r="H130" s="15" t="s">
        <v>6</v>
      </c>
      <c r="I130" s="15" t="s">
        <v>18</v>
      </c>
      <c r="J130" s="15" t="s">
        <v>133</v>
      </c>
      <c r="K130" s="15" t="s">
        <v>134</v>
      </c>
      <c r="L130" s="15" t="s">
        <v>135</v>
      </c>
    </row>
    <row r="131" spans="1:12">
      <c r="A131" s="15" t="str">
        <f>B127</f>
        <v>liquid hydrogen regasification</v>
      </c>
      <c r="B131" s="16">
        <v>1</v>
      </c>
      <c r="C131" s="15" t="s">
        <v>8</v>
      </c>
      <c r="D131" s="15" t="str">
        <f>B128</f>
        <v>kilogram</v>
      </c>
      <c r="E131" s="15"/>
      <c r="F131" s="15" t="s">
        <v>16</v>
      </c>
      <c r="G131" s="15" t="str">
        <f>B127</f>
        <v>liquid hydrogen regasification</v>
      </c>
      <c r="H131" s="15"/>
      <c r="I131" s="15"/>
      <c r="J131" s="15"/>
      <c r="K131" s="15"/>
      <c r="L131" s="15"/>
    </row>
    <row r="132" spans="1:12">
      <c r="A132" s="15" t="s">
        <v>139</v>
      </c>
      <c r="B132" s="16">
        <f>0.88+0.47</f>
        <v>1.35</v>
      </c>
      <c r="C132" s="15" t="s">
        <v>8</v>
      </c>
      <c r="D132" s="15" t="s">
        <v>66</v>
      </c>
      <c r="E132" s="15"/>
      <c r="F132" s="15" t="s">
        <v>17</v>
      </c>
      <c r="G132" s="15" t="s">
        <v>157</v>
      </c>
      <c r="H132" s="15" t="s">
        <v>215</v>
      </c>
      <c r="I132" s="15"/>
      <c r="J132" s="15"/>
      <c r="K132" s="15"/>
      <c r="L132" s="15"/>
    </row>
    <row r="133" spans="1:12">
      <c r="A133" s="15" t="s">
        <v>197</v>
      </c>
      <c r="B133" s="17">
        <v>3.4299999999999999E-9</v>
      </c>
      <c r="C133" s="15" t="s">
        <v>67</v>
      </c>
      <c r="D133" s="15" t="s">
        <v>13</v>
      </c>
      <c r="E133" s="15"/>
      <c r="F133" s="15" t="s">
        <v>17</v>
      </c>
      <c r="G133" t="s">
        <v>198</v>
      </c>
      <c r="H133" s="15" t="s">
        <v>199</v>
      </c>
      <c r="I133" s="15"/>
      <c r="J133" s="15"/>
      <c r="K133" s="15"/>
      <c r="L133" s="15"/>
    </row>
    <row r="134" spans="1:12" ht="15.75">
      <c r="A134" s="3" t="s">
        <v>64</v>
      </c>
      <c r="B134">
        <f>B135</f>
        <v>5.0000000000000001E-3</v>
      </c>
      <c r="C134" t="s">
        <v>67</v>
      </c>
      <c r="D134" t="s">
        <v>21</v>
      </c>
      <c r="F134" t="s">
        <v>17</v>
      </c>
      <c r="G134" t="s">
        <v>65</v>
      </c>
      <c r="H134" t="s">
        <v>72</v>
      </c>
      <c r="J134" s="15"/>
      <c r="K134" s="15"/>
      <c r="L134" s="15"/>
    </row>
    <row r="135" spans="1:12">
      <c r="A135" s="15" t="s">
        <v>69</v>
      </c>
      <c r="B135" s="16">
        <v>5.0000000000000001E-3</v>
      </c>
      <c r="C135" s="15"/>
      <c r="D135" s="15" t="s">
        <v>21</v>
      </c>
      <c r="E135" s="12" t="s">
        <v>30</v>
      </c>
      <c r="F135" s="15" t="s">
        <v>22</v>
      </c>
      <c r="G135" s="15"/>
      <c r="H135" s="15" t="s">
        <v>195</v>
      </c>
      <c r="I135" s="15"/>
      <c r="J135" s="15"/>
      <c r="K135" s="15"/>
      <c r="L135" s="15"/>
    </row>
    <row r="136" spans="1:12">
      <c r="A136" s="15"/>
      <c r="B136" s="12"/>
      <c r="C136" s="15"/>
      <c r="D136" s="15"/>
      <c r="E136" s="15"/>
      <c r="F136" s="15"/>
      <c r="G136" s="15"/>
      <c r="H136" s="15"/>
      <c r="I136" s="15"/>
      <c r="J136" s="15"/>
      <c r="K136" s="15"/>
      <c r="L136" s="15"/>
    </row>
    <row r="137" spans="1:12">
      <c r="A137" s="15" t="s">
        <v>2</v>
      </c>
      <c r="B137" s="13" t="s">
        <v>145</v>
      </c>
      <c r="C137" s="15"/>
      <c r="D137" s="15"/>
      <c r="E137" s="15"/>
      <c r="F137" s="15"/>
      <c r="G137" s="15"/>
      <c r="H137" s="15"/>
      <c r="I137" s="15"/>
      <c r="J137" s="15"/>
      <c r="K137" s="15"/>
      <c r="L137" s="15"/>
    </row>
    <row r="138" spans="1:12">
      <c r="A138" s="15" t="s">
        <v>6</v>
      </c>
      <c r="B138" s="15" t="s">
        <v>181</v>
      </c>
      <c r="C138" s="15"/>
      <c r="D138" s="15"/>
      <c r="E138" s="15"/>
      <c r="F138" s="15"/>
      <c r="G138" s="15"/>
      <c r="H138" s="15"/>
      <c r="I138" s="15"/>
      <c r="J138" s="15"/>
      <c r="K138" s="15"/>
      <c r="L138" s="15"/>
    </row>
    <row r="139" spans="1:12">
      <c r="A139" s="15" t="s">
        <v>51</v>
      </c>
      <c r="B139" s="15" t="s">
        <v>204</v>
      </c>
      <c r="C139" s="15"/>
      <c r="D139" s="15"/>
      <c r="E139" s="15"/>
      <c r="F139" s="15"/>
      <c r="G139" s="15"/>
      <c r="H139" s="15"/>
      <c r="I139" s="15"/>
      <c r="J139" s="15"/>
      <c r="K139" s="15"/>
      <c r="L139" s="15"/>
    </row>
    <row r="140" spans="1:12">
      <c r="A140" s="5" t="s">
        <v>5</v>
      </c>
      <c r="B140" s="5" t="s">
        <v>53</v>
      </c>
      <c r="C140" s="15"/>
      <c r="D140" s="15"/>
      <c r="E140" s="15"/>
      <c r="F140" s="15"/>
      <c r="G140" s="15"/>
      <c r="H140" s="15"/>
      <c r="I140" s="15"/>
      <c r="J140" s="15"/>
      <c r="K140" s="15"/>
      <c r="L140" s="15"/>
    </row>
    <row r="141" spans="1:12">
      <c r="A141" s="15" t="s">
        <v>7</v>
      </c>
      <c r="B141" s="15" t="s">
        <v>8</v>
      </c>
      <c r="C141" s="15"/>
      <c r="D141" s="15"/>
      <c r="E141" s="15"/>
      <c r="F141" s="15"/>
      <c r="G141" s="15"/>
      <c r="H141" s="15"/>
      <c r="I141" s="15"/>
      <c r="J141" s="15"/>
      <c r="K141" s="15"/>
      <c r="L141" s="15"/>
    </row>
    <row r="142" spans="1:12">
      <c r="A142" s="15" t="s">
        <v>14</v>
      </c>
      <c r="B142" s="15" t="s">
        <v>145</v>
      </c>
      <c r="C142" s="15"/>
      <c r="D142" s="15"/>
      <c r="E142" s="15"/>
      <c r="F142" s="15"/>
      <c r="G142" s="15"/>
      <c r="H142" s="15"/>
      <c r="I142" s="15"/>
      <c r="J142" s="15"/>
      <c r="K142" s="15"/>
      <c r="L142" s="15"/>
    </row>
    <row r="143" spans="1:12">
      <c r="A143" s="15" t="s">
        <v>13</v>
      </c>
      <c r="B143" s="15" t="s">
        <v>21</v>
      </c>
      <c r="C143" s="15"/>
      <c r="D143" s="15"/>
      <c r="E143" s="15"/>
      <c r="F143" s="15"/>
      <c r="G143" s="15"/>
      <c r="H143" s="15"/>
      <c r="I143" s="15"/>
      <c r="J143" s="15"/>
      <c r="K143" s="15"/>
      <c r="L143" s="15"/>
    </row>
    <row r="144" spans="1:12">
      <c r="A144" s="15" t="s">
        <v>10</v>
      </c>
      <c r="B144" s="15"/>
      <c r="C144" s="15"/>
      <c r="D144" s="15"/>
      <c r="E144" s="15"/>
      <c r="F144" s="15"/>
      <c r="G144" s="15"/>
      <c r="H144" s="15"/>
      <c r="I144" s="15"/>
      <c r="J144" s="15" t="s">
        <v>133</v>
      </c>
      <c r="K144" s="15" t="s">
        <v>134</v>
      </c>
      <c r="L144" s="15" t="s">
        <v>135</v>
      </c>
    </row>
    <row r="145" spans="1:12">
      <c r="A145" s="15" t="s">
        <v>11</v>
      </c>
      <c r="B145" s="15" t="s">
        <v>12</v>
      </c>
      <c r="C145" s="15" t="s">
        <v>7</v>
      </c>
      <c r="D145" s="15" t="s">
        <v>13</v>
      </c>
      <c r="E145" s="15" t="s">
        <v>19</v>
      </c>
      <c r="F145" s="15" t="s">
        <v>9</v>
      </c>
      <c r="G145" s="15" t="s">
        <v>14</v>
      </c>
      <c r="H145" s="15" t="s">
        <v>6</v>
      </c>
      <c r="I145" s="15" t="s">
        <v>18</v>
      </c>
      <c r="J145" s="15"/>
      <c r="K145" s="15"/>
      <c r="L145" s="15"/>
    </row>
    <row r="146" spans="1:12">
      <c r="A146" s="15" t="str">
        <f>B142</f>
        <v>gaseous hydrogen production</v>
      </c>
      <c r="B146" s="16">
        <v>1</v>
      </c>
      <c r="C146" s="15" t="s">
        <v>8</v>
      </c>
      <c r="D146" s="15" t="str">
        <f>B143</f>
        <v>kilogram</v>
      </c>
      <c r="E146" s="15"/>
      <c r="F146" s="15" t="s">
        <v>16</v>
      </c>
      <c r="G146" s="15" t="str">
        <f>B142</f>
        <v>gaseous hydrogen production</v>
      </c>
      <c r="H146" s="15" t="s">
        <v>136</v>
      </c>
      <c r="I146" s="15"/>
    </row>
    <row r="147" spans="1:12">
      <c r="A147" s="15" t="s">
        <v>64</v>
      </c>
      <c r="B147">
        <f>B150</f>
        <v>3.0000000000000001E-3</v>
      </c>
      <c r="C147" t="s">
        <v>67</v>
      </c>
      <c r="D147" t="s">
        <v>21</v>
      </c>
      <c r="F147" t="s">
        <v>17</v>
      </c>
      <c r="G147" t="s">
        <v>65</v>
      </c>
      <c r="H147" t="s">
        <v>72</v>
      </c>
      <c r="J147" s="15"/>
      <c r="K147" s="15"/>
      <c r="L147" s="15"/>
    </row>
    <row r="148" spans="1:12">
      <c r="A148" s="15" t="s">
        <v>197</v>
      </c>
      <c r="B148" s="17">
        <v>3.4299999999999999E-9</v>
      </c>
      <c r="C148" s="15" t="s">
        <v>67</v>
      </c>
      <c r="D148" s="15" t="s">
        <v>13</v>
      </c>
      <c r="E148" s="15"/>
      <c r="F148" s="15" t="s">
        <v>17</v>
      </c>
      <c r="G148" t="s">
        <v>198</v>
      </c>
      <c r="H148" s="15" t="s">
        <v>200</v>
      </c>
      <c r="I148" s="15"/>
      <c r="J148" s="15"/>
      <c r="K148" s="15"/>
      <c r="L148" s="15"/>
    </row>
    <row r="149" spans="1:12">
      <c r="A149" s="15" t="s">
        <v>139</v>
      </c>
      <c r="B149" s="16">
        <v>1.25</v>
      </c>
      <c r="C149" s="15" t="s">
        <v>8</v>
      </c>
      <c r="D149" s="15" t="s">
        <v>66</v>
      </c>
      <c r="E149" s="15"/>
      <c r="F149" s="15" t="s">
        <v>17</v>
      </c>
      <c r="G149" s="15" t="s">
        <v>157</v>
      </c>
      <c r="H149" s="15" t="s">
        <v>146</v>
      </c>
      <c r="I149" s="15"/>
      <c r="J149" s="15"/>
      <c r="K149" s="15"/>
      <c r="L149" s="15"/>
    </row>
    <row r="150" spans="1:12">
      <c r="A150" s="15" t="s">
        <v>69</v>
      </c>
      <c r="B150" s="16">
        <v>3.0000000000000001E-3</v>
      </c>
      <c r="C150" s="15"/>
      <c r="D150" s="15" t="s">
        <v>21</v>
      </c>
      <c r="E150" s="12" t="s">
        <v>30</v>
      </c>
      <c r="F150" s="15" t="s">
        <v>22</v>
      </c>
      <c r="G150" s="15"/>
      <c r="H150" s="15" t="s">
        <v>146</v>
      </c>
      <c r="I150" s="15"/>
      <c r="J150" s="15"/>
      <c r="K150" s="15"/>
      <c r="L150" s="15"/>
    </row>
    <row r="151" spans="1:12">
      <c r="A151" s="15" t="s">
        <v>152</v>
      </c>
      <c r="B151" s="12">
        <v>3.8000000000000002E-4</v>
      </c>
      <c r="C151" s="15"/>
      <c r="D151" s="15" t="s">
        <v>142</v>
      </c>
      <c r="E151" s="15" t="s">
        <v>147</v>
      </c>
      <c r="F151" s="15" t="s">
        <v>22</v>
      </c>
      <c r="G151" s="15"/>
      <c r="H151" s="15" t="s">
        <v>146</v>
      </c>
      <c r="I151" s="15"/>
      <c r="J151" s="15"/>
      <c r="K151" s="15"/>
      <c r="L151" s="15"/>
    </row>
    <row r="152" spans="1:12">
      <c r="A152" s="15" t="s">
        <v>149</v>
      </c>
      <c r="B152" s="15">
        <v>9.4600000000000004E-2</v>
      </c>
      <c r="C152" s="15"/>
      <c r="D152" s="15" t="s">
        <v>142</v>
      </c>
      <c r="E152" s="15" t="s">
        <v>148</v>
      </c>
      <c r="F152" s="15" t="s">
        <v>22</v>
      </c>
      <c r="G152" s="15"/>
      <c r="H152" s="15" t="s">
        <v>146</v>
      </c>
      <c r="I152" s="15"/>
      <c r="J152" s="15"/>
      <c r="K152" s="15"/>
      <c r="L152" s="15"/>
    </row>
    <row r="153" spans="1:12">
      <c r="A153" s="15" t="s">
        <v>150</v>
      </c>
      <c r="B153" s="15">
        <v>9.5000000000000001E-2</v>
      </c>
      <c r="C153" s="15"/>
      <c r="D153" s="15" t="s">
        <v>142</v>
      </c>
      <c r="E153" s="15" t="s">
        <v>151</v>
      </c>
      <c r="F153" s="15" t="s">
        <v>22</v>
      </c>
      <c r="G153" s="15"/>
      <c r="H153" s="15" t="s">
        <v>146</v>
      </c>
      <c r="I153" s="15"/>
      <c r="J153" s="15"/>
      <c r="K153" s="15"/>
      <c r="L153" s="15"/>
    </row>
    <row r="154" spans="1:12">
      <c r="A154" s="15"/>
      <c r="B154" s="15"/>
      <c r="C154" s="15"/>
      <c r="D154" s="15"/>
      <c r="E154" s="15"/>
      <c r="F154" s="15"/>
      <c r="G154" s="15"/>
      <c r="H154" s="15"/>
      <c r="I154" s="15"/>
      <c r="J154" s="15"/>
      <c r="K154" s="15"/>
      <c r="L154" s="15"/>
    </row>
    <row r="155" spans="1:12">
      <c r="A155" s="15" t="s">
        <v>2</v>
      </c>
      <c r="B155" s="13" t="s">
        <v>160</v>
      </c>
      <c r="C155" s="15"/>
      <c r="D155" s="15"/>
      <c r="E155" s="15"/>
      <c r="F155" s="15"/>
      <c r="G155" s="15"/>
      <c r="H155" s="15"/>
      <c r="I155" s="15"/>
      <c r="J155" s="15"/>
      <c r="K155" s="15"/>
      <c r="L155" s="15"/>
    </row>
    <row r="156" spans="1:12">
      <c r="A156" s="15" t="s">
        <v>6</v>
      </c>
      <c r="B156" t="s">
        <v>208</v>
      </c>
      <c r="C156" s="15"/>
      <c r="D156" s="15"/>
      <c r="E156" s="15"/>
      <c r="F156" s="15"/>
      <c r="G156" s="15"/>
      <c r="H156" s="15"/>
      <c r="I156" s="15"/>
      <c r="J156" s="15"/>
      <c r="K156" s="15"/>
      <c r="L156" s="15"/>
    </row>
    <row r="157" spans="1:12">
      <c r="A157" s="15" t="s">
        <v>51</v>
      </c>
      <c r="B157" s="15" t="s">
        <v>166</v>
      </c>
      <c r="C157" s="15"/>
      <c r="D157" s="15"/>
      <c r="E157" s="15"/>
      <c r="F157" s="15"/>
      <c r="G157" s="15"/>
      <c r="H157" s="15"/>
      <c r="I157" s="15"/>
      <c r="J157" s="15"/>
      <c r="K157" s="15"/>
      <c r="L157" s="15"/>
    </row>
    <row r="158" spans="1:12">
      <c r="A158" s="5" t="s">
        <v>5</v>
      </c>
      <c r="B158" s="5" t="s">
        <v>53</v>
      </c>
      <c r="C158" s="15"/>
      <c r="D158" s="15"/>
      <c r="E158" s="15"/>
      <c r="F158" s="15"/>
      <c r="G158" s="15"/>
      <c r="H158" s="15"/>
      <c r="I158" s="15"/>
      <c r="J158" s="15"/>
      <c r="K158" s="15"/>
      <c r="L158" s="15"/>
    </row>
    <row r="159" spans="1:12">
      <c r="A159" s="15" t="s">
        <v>7</v>
      </c>
      <c r="B159" s="15" t="s">
        <v>8</v>
      </c>
      <c r="C159" s="15"/>
      <c r="D159" s="15"/>
      <c r="E159" s="15"/>
      <c r="F159" s="15"/>
      <c r="G159" s="15"/>
      <c r="H159" s="15"/>
      <c r="I159" s="15"/>
      <c r="J159" s="15"/>
      <c r="K159" s="15"/>
      <c r="L159" s="15"/>
    </row>
    <row r="160" spans="1:12">
      <c r="A160" s="15" t="s">
        <v>14</v>
      </c>
      <c r="B160" s="15" t="s">
        <v>160</v>
      </c>
      <c r="C160" s="15"/>
      <c r="D160" s="15"/>
      <c r="E160" s="15"/>
      <c r="F160" s="15"/>
      <c r="G160" s="15"/>
      <c r="H160" s="15"/>
      <c r="I160" s="15"/>
      <c r="J160" s="15"/>
      <c r="K160" s="15"/>
      <c r="L160" s="15"/>
    </row>
    <row r="161" spans="1:12">
      <c r="A161" s="15" t="s">
        <v>13</v>
      </c>
      <c r="B161" s="15" t="s">
        <v>21</v>
      </c>
      <c r="C161" s="15"/>
      <c r="D161" s="15"/>
      <c r="E161" s="15"/>
      <c r="F161" s="15"/>
      <c r="G161" s="15"/>
      <c r="H161" s="15"/>
      <c r="I161" s="15"/>
      <c r="J161" s="15"/>
      <c r="K161" s="15"/>
      <c r="L161" s="15"/>
    </row>
    <row r="162" spans="1:12">
      <c r="A162" s="15" t="s">
        <v>10</v>
      </c>
      <c r="B162" s="15"/>
      <c r="C162" s="15"/>
      <c r="D162" s="15"/>
      <c r="E162" s="15"/>
      <c r="F162" s="15"/>
      <c r="G162" s="15"/>
      <c r="H162" s="15"/>
      <c r="I162" s="15"/>
      <c r="J162" s="15" t="s">
        <v>133</v>
      </c>
      <c r="K162" s="15" t="s">
        <v>134</v>
      </c>
      <c r="L162" s="15" t="s">
        <v>135</v>
      </c>
    </row>
    <row r="163" spans="1:12">
      <c r="A163" s="15" t="s">
        <v>11</v>
      </c>
      <c r="B163" s="15" t="s">
        <v>12</v>
      </c>
      <c r="C163" s="15" t="s">
        <v>7</v>
      </c>
      <c r="D163" s="15" t="s">
        <v>13</v>
      </c>
      <c r="E163" s="15" t="s">
        <v>19</v>
      </c>
      <c r="F163" s="15" t="s">
        <v>9</v>
      </c>
      <c r="G163" s="15" t="s">
        <v>14</v>
      </c>
      <c r="H163" s="15" t="s">
        <v>6</v>
      </c>
      <c r="I163" s="15" t="s">
        <v>18</v>
      </c>
      <c r="J163" s="15"/>
      <c r="K163" s="15"/>
      <c r="L163" s="15"/>
    </row>
    <row r="164" spans="1:12">
      <c r="A164" s="15" t="str">
        <f>B160</f>
        <v>ammonia cracking</v>
      </c>
      <c r="B164" s="16">
        <v>1</v>
      </c>
      <c r="C164" s="15" t="s">
        <v>8</v>
      </c>
      <c r="D164" s="15" t="str">
        <f>B161</f>
        <v>kilogram</v>
      </c>
      <c r="E164" s="15"/>
      <c r="F164" s="15" t="s">
        <v>16</v>
      </c>
      <c r="G164" s="15" t="str">
        <f>B160</f>
        <v>ammonia cracking</v>
      </c>
      <c r="H164" s="15" t="s">
        <v>136</v>
      </c>
      <c r="I164" s="15"/>
      <c r="J164" s="15"/>
      <c r="K164" s="15"/>
      <c r="L164" s="15"/>
    </row>
    <row r="165" spans="1:12">
      <c r="A165" s="15" t="s">
        <v>161</v>
      </c>
      <c r="B165" s="17">
        <f>1/(28*1000*300*50)</f>
        <v>2.380952380952381E-9</v>
      </c>
      <c r="C165" s="15" t="s">
        <v>8</v>
      </c>
      <c r="D165" s="15" t="s">
        <v>13</v>
      </c>
      <c r="E165" s="15"/>
      <c r="F165" s="15" t="s">
        <v>17</v>
      </c>
      <c r="G165" s="15" t="s">
        <v>162</v>
      </c>
      <c r="H165" s="15" t="s">
        <v>165</v>
      </c>
      <c r="I165" s="15"/>
      <c r="J165" s="15"/>
      <c r="K165" s="15"/>
      <c r="L165" s="15"/>
    </row>
    <row r="166" spans="1:12">
      <c r="A166" s="15" t="s">
        <v>163</v>
      </c>
      <c r="B166" s="17">
        <f>1/(28*1000*300*50*10)</f>
        <v>2.380952380952381E-10</v>
      </c>
      <c r="C166" s="15" t="s">
        <v>8</v>
      </c>
      <c r="D166" s="15" t="s">
        <v>13</v>
      </c>
      <c r="E166" s="15"/>
      <c r="F166" s="15" t="s">
        <v>17</v>
      </c>
      <c r="G166" s="15" t="s">
        <v>164</v>
      </c>
      <c r="H166" s="15" t="s">
        <v>216</v>
      </c>
      <c r="I166" s="15"/>
    </row>
    <row r="167" spans="1:12">
      <c r="A167" t="s">
        <v>76</v>
      </c>
      <c r="B167" s="18">
        <f>(3.086/7.67)+0.6</f>
        <v>1.0023468057366363</v>
      </c>
      <c r="C167" t="s">
        <v>67</v>
      </c>
      <c r="D167" t="s">
        <v>66</v>
      </c>
      <c r="F167" t="s">
        <v>17</v>
      </c>
      <c r="G167" t="s">
        <v>62</v>
      </c>
      <c r="H167" t="s">
        <v>209</v>
      </c>
    </row>
    <row r="169" spans="1:12">
      <c r="A169" t="s">
        <v>2</v>
      </c>
      <c r="B169" s="13" t="s">
        <v>167</v>
      </c>
    </row>
    <row r="170" spans="1:12">
      <c r="A170" t="s">
        <v>6</v>
      </c>
      <c r="B170" t="s">
        <v>180</v>
      </c>
    </row>
    <row r="171" spans="1:12">
      <c r="A171" t="s">
        <v>51</v>
      </c>
      <c r="B171" t="s">
        <v>201</v>
      </c>
    </row>
    <row r="172" spans="1:12">
      <c r="A172" s="5" t="s">
        <v>5</v>
      </c>
      <c r="B172" s="12" t="s">
        <v>207</v>
      </c>
    </row>
    <row r="173" spans="1:12">
      <c r="A173" t="s">
        <v>7</v>
      </c>
      <c r="B173" t="s">
        <v>8</v>
      </c>
    </row>
    <row r="174" spans="1:12">
      <c r="A174" t="s">
        <v>14</v>
      </c>
      <c r="B174" t="str">
        <f>B169</f>
        <v>liquid ammonia production</v>
      </c>
    </row>
    <row r="175" spans="1:12">
      <c r="A175" t="s">
        <v>13</v>
      </c>
      <c r="B175" t="s">
        <v>21</v>
      </c>
    </row>
    <row r="176" spans="1:12">
      <c r="A176" t="s">
        <v>10</v>
      </c>
      <c r="J176" t="s">
        <v>133</v>
      </c>
      <c r="K176" t="s">
        <v>134</v>
      </c>
      <c r="L176" t="s">
        <v>135</v>
      </c>
    </row>
    <row r="177" spans="1:9">
      <c r="A177" t="s">
        <v>11</v>
      </c>
      <c r="B177" t="s">
        <v>12</v>
      </c>
      <c r="C177" t="s">
        <v>7</v>
      </c>
      <c r="D177" t="s">
        <v>13</v>
      </c>
      <c r="E177" t="s">
        <v>19</v>
      </c>
      <c r="F177" t="s">
        <v>9</v>
      </c>
      <c r="G177" t="s">
        <v>14</v>
      </c>
      <c r="H177" t="s">
        <v>6</v>
      </c>
      <c r="I177" t="s">
        <v>18</v>
      </c>
    </row>
    <row r="178" spans="1:9">
      <c r="A178" t="str">
        <f>B174</f>
        <v>liquid ammonia production</v>
      </c>
      <c r="B178" s="18">
        <v>1</v>
      </c>
      <c r="C178" t="s">
        <v>8</v>
      </c>
      <c r="D178" t="str">
        <f>B175</f>
        <v>kilogram</v>
      </c>
      <c r="F178" t="s">
        <v>16</v>
      </c>
      <c r="G178" t="s">
        <v>168</v>
      </c>
      <c r="H178" t="s">
        <v>169</v>
      </c>
    </row>
    <row r="179" spans="1:9">
      <c r="A179" t="s">
        <v>171</v>
      </c>
      <c r="B179" s="18">
        <v>0.81499999999999995</v>
      </c>
      <c r="C179" t="s">
        <v>8</v>
      </c>
      <c r="D179" t="s">
        <v>21</v>
      </c>
      <c r="F179" t="s">
        <v>17</v>
      </c>
      <c r="G179" t="s">
        <v>171</v>
      </c>
      <c r="H179" t="s">
        <v>138</v>
      </c>
    </row>
    <row r="180" spans="1:9">
      <c r="A180" t="s">
        <v>172</v>
      </c>
      <c r="B180" s="18">
        <v>5.1499999999999998E-5</v>
      </c>
      <c r="C180" t="s">
        <v>8</v>
      </c>
      <c r="D180" t="s">
        <v>21</v>
      </c>
      <c r="F180" t="s">
        <v>17</v>
      </c>
      <c r="G180" t="s">
        <v>172</v>
      </c>
      <c r="H180" t="s">
        <v>138</v>
      </c>
    </row>
    <row r="181" spans="1:9">
      <c r="A181" t="s">
        <v>163</v>
      </c>
      <c r="B181" s="18">
        <v>3.29E-10</v>
      </c>
      <c r="C181" t="s">
        <v>8</v>
      </c>
      <c r="D181" t="s">
        <v>13</v>
      </c>
      <c r="F181" t="s">
        <v>17</v>
      </c>
      <c r="G181" t="s">
        <v>164</v>
      </c>
    </row>
    <row r="182" spans="1:9">
      <c r="A182" t="s">
        <v>139</v>
      </c>
      <c r="B182" s="18">
        <v>1.44</v>
      </c>
      <c r="C182" t="s">
        <v>8</v>
      </c>
      <c r="D182" t="s">
        <v>66</v>
      </c>
      <c r="F182" t="s">
        <v>17</v>
      </c>
      <c r="G182" t="s">
        <v>157</v>
      </c>
    </row>
    <row r="183" spans="1:9">
      <c r="A183" t="s">
        <v>173</v>
      </c>
      <c r="B183" s="18">
        <v>5.1499999999999998E-5</v>
      </c>
      <c r="C183" t="s">
        <v>131</v>
      </c>
      <c r="D183" t="s">
        <v>21</v>
      </c>
      <c r="F183" t="s">
        <v>17</v>
      </c>
      <c r="G183" t="s">
        <v>189</v>
      </c>
    </row>
    <row r="184" spans="1:9">
      <c r="A184" t="s">
        <v>150</v>
      </c>
      <c r="B184" s="18">
        <v>0.14899999999999999</v>
      </c>
      <c r="D184" t="s">
        <v>142</v>
      </c>
      <c r="E184" s="15" t="s">
        <v>151</v>
      </c>
      <c r="F184" t="s">
        <v>22</v>
      </c>
    </row>
    <row r="185" spans="1:9">
      <c r="A185" t="s">
        <v>69</v>
      </c>
      <c r="B185" s="18">
        <v>7.67E-4</v>
      </c>
      <c r="D185" t="s">
        <v>21</v>
      </c>
      <c r="E185" s="12" t="s">
        <v>30</v>
      </c>
      <c r="F185" t="s">
        <v>22</v>
      </c>
    </row>
    <row r="186" spans="1:9">
      <c r="A186" t="s">
        <v>20</v>
      </c>
      <c r="B186" s="18">
        <v>1.6299999999999999E-3</v>
      </c>
      <c r="D186" t="s">
        <v>21</v>
      </c>
      <c r="E186" s="12" t="s">
        <v>30</v>
      </c>
      <c r="F186" t="s">
        <v>22</v>
      </c>
    </row>
    <row r="187" spans="1:9">
      <c r="A187" t="s">
        <v>25</v>
      </c>
      <c r="B187" s="18">
        <v>1E-3</v>
      </c>
      <c r="D187" t="s">
        <v>21</v>
      </c>
      <c r="E187" s="12" t="s">
        <v>30</v>
      </c>
      <c r="F187" t="s">
        <v>22</v>
      </c>
    </row>
    <row r="188" spans="1:9">
      <c r="A188" t="s">
        <v>149</v>
      </c>
      <c r="B188" s="18">
        <v>4.7600000000000003E-2</v>
      </c>
      <c r="D188" t="s">
        <v>142</v>
      </c>
      <c r="E188" s="12" t="s">
        <v>30</v>
      </c>
      <c r="F188" t="s">
        <v>22</v>
      </c>
    </row>
    <row r="189" spans="1:9">
      <c r="A189" t="s">
        <v>149</v>
      </c>
      <c r="B189" s="18">
        <v>0.10100000000000001</v>
      </c>
      <c r="D189" t="s">
        <v>142</v>
      </c>
      <c r="E189" s="15" t="s">
        <v>148</v>
      </c>
      <c r="F189" t="s">
        <v>22</v>
      </c>
    </row>
    <row r="191" spans="1:9">
      <c r="A191" t="s">
        <v>2</v>
      </c>
      <c r="B191" s="13" t="s">
        <v>171</v>
      </c>
    </row>
    <row r="192" spans="1:9">
      <c r="A192" t="s">
        <v>6</v>
      </c>
      <c r="B192" t="s">
        <v>184</v>
      </c>
    </row>
    <row r="193" spans="1:12">
      <c r="A193" t="s">
        <v>51</v>
      </c>
      <c r="B193" t="s">
        <v>202</v>
      </c>
    </row>
    <row r="194" spans="1:12">
      <c r="A194" s="5" t="s">
        <v>5</v>
      </c>
      <c r="B194" s="12" t="s">
        <v>206</v>
      </c>
    </row>
    <row r="195" spans="1:12">
      <c r="A195" t="s">
        <v>7</v>
      </c>
      <c r="B195" t="s">
        <v>8</v>
      </c>
    </row>
    <row r="196" spans="1:12">
      <c r="A196" t="s">
        <v>14</v>
      </c>
      <c r="B196" t="s">
        <v>171</v>
      </c>
    </row>
    <row r="197" spans="1:12">
      <c r="A197" t="s">
        <v>13</v>
      </c>
      <c r="B197" t="s">
        <v>21</v>
      </c>
    </row>
    <row r="198" spans="1:12">
      <c r="A198" t="s">
        <v>10</v>
      </c>
      <c r="J198" t="s">
        <v>133</v>
      </c>
      <c r="K198" t="s">
        <v>134</v>
      </c>
      <c r="L198" t="s">
        <v>135</v>
      </c>
    </row>
    <row r="199" spans="1:12">
      <c r="A199" t="s">
        <v>11</v>
      </c>
      <c r="B199" t="s">
        <v>12</v>
      </c>
      <c r="C199" t="s">
        <v>7</v>
      </c>
      <c r="D199" t="s">
        <v>13</v>
      </c>
      <c r="E199" t="s">
        <v>19</v>
      </c>
      <c r="F199" t="s">
        <v>9</v>
      </c>
      <c r="G199" t="s">
        <v>14</v>
      </c>
      <c r="H199" t="s">
        <v>6</v>
      </c>
      <c r="I199" t="s">
        <v>18</v>
      </c>
    </row>
    <row r="200" spans="1:12">
      <c r="A200" t="s">
        <v>171</v>
      </c>
      <c r="B200" s="18">
        <v>1</v>
      </c>
      <c r="C200" t="s">
        <v>8</v>
      </c>
      <c r="D200" t="s">
        <v>21</v>
      </c>
      <c r="F200" t="s">
        <v>16</v>
      </c>
      <c r="G200" t="s">
        <v>171</v>
      </c>
      <c r="H200" t="s">
        <v>174</v>
      </c>
    </row>
    <row r="201" spans="1:12">
      <c r="A201" t="s">
        <v>175</v>
      </c>
      <c r="B201" s="18">
        <v>4.4300000000000002E-10</v>
      </c>
      <c r="C201" t="s">
        <v>8</v>
      </c>
      <c r="D201" t="s">
        <v>13</v>
      </c>
      <c r="F201" t="s">
        <v>17</v>
      </c>
      <c r="G201" t="s">
        <v>187</v>
      </c>
    </row>
    <row r="202" spans="1:12">
      <c r="A202" t="s">
        <v>150</v>
      </c>
      <c r="B202" s="18">
        <v>4.0000000000000001E-3</v>
      </c>
      <c r="D202" t="s">
        <v>142</v>
      </c>
      <c r="E202" s="15" t="s">
        <v>151</v>
      </c>
      <c r="F202" t="s">
        <v>22</v>
      </c>
    </row>
    <row r="203" spans="1:12">
      <c r="A203" t="s">
        <v>149</v>
      </c>
      <c r="B203" s="18">
        <v>2.4499999999999999E-3</v>
      </c>
      <c r="D203" t="s">
        <v>142</v>
      </c>
      <c r="E203" s="15" t="s">
        <v>148</v>
      </c>
      <c r="F203" t="s">
        <v>22</v>
      </c>
    </row>
    <row r="205" spans="1:12">
      <c r="A205" t="s">
        <v>2</v>
      </c>
      <c r="B205" s="13" t="s">
        <v>172</v>
      </c>
    </row>
    <row r="206" spans="1:12">
      <c r="A206" t="s">
        <v>6</v>
      </c>
      <c r="B206" t="s">
        <v>176</v>
      </c>
    </row>
    <row r="207" spans="1:12">
      <c r="A207" t="s">
        <v>51</v>
      </c>
      <c r="B207" t="s">
        <v>203</v>
      </c>
    </row>
    <row r="208" spans="1:12">
      <c r="A208" s="5" t="s">
        <v>5</v>
      </c>
      <c r="B208" s="12" t="s">
        <v>206</v>
      </c>
    </row>
    <row r="209" spans="1:12">
      <c r="A209" t="s">
        <v>7</v>
      </c>
      <c r="B209" t="s">
        <v>8</v>
      </c>
    </row>
    <row r="210" spans="1:12">
      <c r="A210" t="s">
        <v>14</v>
      </c>
      <c r="B210" t="s">
        <v>172</v>
      </c>
    </row>
    <row r="211" spans="1:12">
      <c r="A211" t="s">
        <v>13</v>
      </c>
      <c r="B211" t="s">
        <v>21</v>
      </c>
    </row>
    <row r="212" spans="1:12">
      <c r="A212" t="s">
        <v>10</v>
      </c>
      <c r="J212" t="s">
        <v>133</v>
      </c>
      <c r="K212" t="s">
        <v>134</v>
      </c>
      <c r="L212" t="s">
        <v>135</v>
      </c>
    </row>
    <row r="213" spans="1:12">
      <c r="A213" t="s">
        <v>11</v>
      </c>
      <c r="B213" t="s">
        <v>12</v>
      </c>
      <c r="C213" t="s">
        <v>7</v>
      </c>
      <c r="D213" t="s">
        <v>13</v>
      </c>
      <c r="E213" t="s">
        <v>19</v>
      </c>
      <c r="F213" t="s">
        <v>9</v>
      </c>
      <c r="G213" t="s">
        <v>14</v>
      </c>
      <c r="H213" t="s">
        <v>6</v>
      </c>
      <c r="I213" t="s">
        <v>18</v>
      </c>
    </row>
    <row r="214" spans="1:12">
      <c r="A214" t="s">
        <v>172</v>
      </c>
      <c r="B214" s="18">
        <v>1</v>
      </c>
      <c r="C214" t="s">
        <v>8</v>
      </c>
      <c r="D214" t="s">
        <v>21</v>
      </c>
      <c r="F214" t="s">
        <v>16</v>
      </c>
      <c r="G214" t="s">
        <v>172</v>
      </c>
      <c r="H214" t="s">
        <v>177</v>
      </c>
    </row>
    <row r="215" spans="1:12">
      <c r="A215" t="s">
        <v>178</v>
      </c>
      <c r="B215" s="18">
        <v>0.91700000000000004</v>
      </c>
      <c r="C215" t="s">
        <v>8</v>
      </c>
      <c r="D215" t="s">
        <v>21</v>
      </c>
      <c r="F215" t="s">
        <v>17</v>
      </c>
      <c r="G215" t="s">
        <v>185</v>
      </c>
    </row>
    <row r="216" spans="1:12">
      <c r="A216" t="s">
        <v>192</v>
      </c>
      <c r="B216" s="18">
        <v>0.03</v>
      </c>
      <c r="C216" t="s">
        <v>67</v>
      </c>
      <c r="D216" t="s">
        <v>21</v>
      </c>
      <c r="F216" t="s">
        <v>17</v>
      </c>
      <c r="G216" t="s">
        <v>190</v>
      </c>
      <c r="H216" t="s">
        <v>191</v>
      </c>
    </row>
    <row r="217" spans="1:12">
      <c r="A217" t="s">
        <v>179</v>
      </c>
      <c r="B217" s="18">
        <v>5.2499999999999998E-2</v>
      </c>
      <c r="C217" t="s">
        <v>8</v>
      </c>
      <c r="D217" t="s">
        <v>21</v>
      </c>
      <c r="F217" t="s">
        <v>17</v>
      </c>
      <c r="G217" t="s">
        <v>186</v>
      </c>
    </row>
    <row r="218" spans="1:12">
      <c r="A218" t="s">
        <v>139</v>
      </c>
      <c r="B218" s="18">
        <v>1.78</v>
      </c>
      <c r="C218" t="s">
        <v>8</v>
      </c>
      <c r="D218" t="s">
        <v>66</v>
      </c>
      <c r="F218" t="s">
        <v>17</v>
      </c>
      <c r="G218" t="s">
        <v>157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7E1F-62C4-4B55-9EF4-FABFBE79AE8D}">
  <dimension ref="A1:L8"/>
  <sheetViews>
    <sheetView workbookViewId="0">
      <selection activeCell="C22" sqref="C22"/>
    </sheetView>
  </sheetViews>
  <sheetFormatPr baseColWidth="10" defaultRowHeight="15"/>
  <sheetData>
    <row r="1" spans="1:12">
      <c r="A1" t="s">
        <v>55</v>
      </c>
    </row>
    <row r="3" spans="1:12" ht="15.75">
      <c r="A3" s="3" t="s">
        <v>64</v>
      </c>
      <c r="B3">
        <v>200.74</v>
      </c>
      <c r="C3" t="s">
        <v>8</v>
      </c>
      <c r="D3" t="s">
        <v>21</v>
      </c>
      <c r="F3" t="s">
        <v>17</v>
      </c>
      <c r="G3" t="s">
        <v>128</v>
      </c>
    </row>
    <row r="4" spans="1:12" ht="15.75">
      <c r="A4" s="3" t="s">
        <v>64</v>
      </c>
      <c r="B4" s="14">
        <v>1.0162</v>
      </c>
      <c r="C4" s="2" t="s">
        <v>8</v>
      </c>
      <c r="D4" s="2" t="s">
        <v>21</v>
      </c>
      <c r="F4" s="2" t="s">
        <v>17</v>
      </c>
      <c r="G4" s="3" t="s">
        <v>64</v>
      </c>
      <c r="H4" s="2"/>
      <c r="I4" s="2"/>
      <c r="J4" s="2"/>
      <c r="K4" s="2"/>
      <c r="L4" s="2"/>
    </row>
    <row r="5" spans="1:12" ht="15.75">
      <c r="A5" s="3" t="s">
        <v>64</v>
      </c>
      <c r="B5" s="14">
        <v>1.0162</v>
      </c>
      <c r="C5" s="2" t="s">
        <v>8</v>
      </c>
      <c r="D5" s="2" t="s">
        <v>21</v>
      </c>
      <c r="F5" s="2" t="s">
        <v>17</v>
      </c>
      <c r="G5" s="3" t="s">
        <v>64</v>
      </c>
      <c r="H5" s="2"/>
      <c r="I5" s="2"/>
      <c r="J5" s="2"/>
      <c r="K5" s="2"/>
      <c r="L5" s="2"/>
    </row>
    <row r="6" spans="1:12">
      <c r="A6" t="s">
        <v>170</v>
      </c>
      <c r="B6" s="18">
        <v>0.17599999999999999</v>
      </c>
      <c r="C6" t="s">
        <v>8</v>
      </c>
      <c r="D6" t="s">
        <v>21</v>
      </c>
      <c r="F6" t="s">
        <v>17</v>
      </c>
      <c r="G6" t="s">
        <v>170</v>
      </c>
    </row>
    <row r="7" spans="1:12">
      <c r="A7" s="15" t="s">
        <v>139</v>
      </c>
      <c r="B7" s="16">
        <v>0.6</v>
      </c>
      <c r="C7" s="15" t="s">
        <v>8</v>
      </c>
      <c r="D7" s="15" t="s">
        <v>66</v>
      </c>
      <c r="E7" s="15"/>
      <c r="F7" s="15" t="s">
        <v>17</v>
      </c>
      <c r="G7" s="15" t="s">
        <v>157</v>
      </c>
      <c r="H7" s="15" t="s">
        <v>146</v>
      </c>
      <c r="I7" s="15"/>
      <c r="J7" s="15"/>
      <c r="K7" s="15"/>
      <c r="L7" s="15"/>
    </row>
    <row r="8" spans="1:12" ht="15.75">
      <c r="A8" s="3" t="s">
        <v>64</v>
      </c>
      <c r="B8">
        <v>0.35</v>
      </c>
      <c r="C8" t="s">
        <v>67</v>
      </c>
      <c r="D8" t="s">
        <v>21</v>
      </c>
      <c r="F8" t="s">
        <v>17</v>
      </c>
      <c r="G8" t="s">
        <v>65</v>
      </c>
      <c r="H8" t="s">
        <v>188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E48C-ECCC-42B7-B70A-16D5D4E493BD}">
  <dimension ref="A1:G34"/>
  <sheetViews>
    <sheetView zoomScale="96" zoomScaleNormal="115" workbookViewId="0">
      <selection activeCell="F11" sqref="F11"/>
    </sheetView>
  </sheetViews>
  <sheetFormatPr baseColWidth="10" defaultColWidth="11.5703125" defaultRowHeight="14.25"/>
  <cols>
    <col min="1" max="1" width="11.5703125" style="7"/>
    <col min="2" max="2" width="22.42578125" style="7" bestFit="1" customWidth="1"/>
    <col min="3" max="3" width="14.7109375" style="7" bestFit="1" customWidth="1"/>
    <col min="4" max="5" width="19.28515625" style="7" bestFit="1" customWidth="1"/>
    <col min="6" max="6" width="21.7109375" style="7" bestFit="1" customWidth="1"/>
    <col min="7" max="7" width="19.28515625" style="7" bestFit="1" customWidth="1"/>
    <col min="8" max="8" width="18.7109375" style="7" bestFit="1" customWidth="1"/>
    <col min="9" max="16384" width="11.5703125" style="7"/>
  </cols>
  <sheetData>
    <row r="1" spans="1:7">
      <c r="A1" s="7" t="s">
        <v>55</v>
      </c>
    </row>
    <row r="2" spans="1:7">
      <c r="B2" s="7" t="s">
        <v>125</v>
      </c>
      <c r="C2" s="7" t="s">
        <v>213</v>
      </c>
      <c r="D2" s="7" t="s">
        <v>214</v>
      </c>
      <c r="E2" s="7" t="s">
        <v>83</v>
      </c>
      <c r="F2" s="7" t="s">
        <v>84</v>
      </c>
      <c r="G2" s="7" t="s">
        <v>51</v>
      </c>
    </row>
    <row r="3" spans="1:7">
      <c r="B3" s="7" t="s">
        <v>85</v>
      </c>
      <c r="C3" s="7">
        <v>11.861000000000001</v>
      </c>
      <c r="D3" s="7">
        <v>5.1669999999999998</v>
      </c>
      <c r="F3" s="7" t="s">
        <v>86</v>
      </c>
      <c r="G3" s="7" t="s">
        <v>87</v>
      </c>
    </row>
    <row r="4" spans="1:7">
      <c r="B4" s="7" t="s">
        <v>88</v>
      </c>
      <c r="C4" s="8">
        <v>2.615E-2</v>
      </c>
      <c r="D4" s="8">
        <v>2.615E-2</v>
      </c>
      <c r="F4" s="7" t="s">
        <v>123</v>
      </c>
      <c r="G4" s="7" t="s">
        <v>89</v>
      </c>
    </row>
    <row r="5" spans="1:7">
      <c r="B5" s="7" t="s">
        <v>90</v>
      </c>
      <c r="C5" s="7">
        <v>2.2050999999999998</v>
      </c>
      <c r="D5" s="8">
        <v>5.0618999999999996</v>
      </c>
      <c r="F5" s="7" t="s">
        <v>124</v>
      </c>
      <c r="G5" s="7" t="s">
        <v>89</v>
      </c>
    </row>
    <row r="6" spans="1:7">
      <c r="B6" s="7" t="s">
        <v>92</v>
      </c>
      <c r="C6" s="7">
        <v>2.6200000000000001E-2</v>
      </c>
      <c r="D6" s="8">
        <v>2.6200000000000001E-2</v>
      </c>
      <c r="F6" s="7" t="s">
        <v>123</v>
      </c>
      <c r="G6" s="7" t="s">
        <v>89</v>
      </c>
    </row>
    <row r="7" spans="1:7">
      <c r="B7" s="7" t="s">
        <v>93</v>
      </c>
      <c r="C7" s="7">
        <v>0.1147</v>
      </c>
      <c r="D7" s="8">
        <v>0.1147</v>
      </c>
      <c r="F7" s="7" t="s">
        <v>91</v>
      </c>
      <c r="G7" s="7" t="s">
        <v>89</v>
      </c>
    </row>
    <row r="8" spans="1:7">
      <c r="B8" s="7" t="s">
        <v>94</v>
      </c>
      <c r="C8" s="7">
        <v>1.4E-3</v>
      </c>
      <c r="D8" s="8">
        <v>1.4E-3</v>
      </c>
      <c r="F8" s="7" t="s">
        <v>123</v>
      </c>
      <c r="G8" s="7" t="s">
        <v>89</v>
      </c>
    </row>
    <row r="9" spans="1:7" ht="15">
      <c r="B9" s="7" t="s">
        <v>95</v>
      </c>
      <c r="C9" s="9">
        <f>(22/229)</f>
        <v>9.606986899563319E-2</v>
      </c>
      <c r="D9" s="9">
        <f>(22/229)</f>
        <v>9.606986899563319E-2</v>
      </c>
      <c r="F9" s="7" t="s">
        <v>96</v>
      </c>
      <c r="G9" s="7" t="s">
        <v>87</v>
      </c>
    </row>
    <row r="10" spans="1:7">
      <c r="B10" s="7" t="s">
        <v>97</v>
      </c>
      <c r="C10" s="7">
        <v>5.9</v>
      </c>
      <c r="D10" s="7">
        <v>5.9</v>
      </c>
      <c r="F10" s="7" t="s">
        <v>98</v>
      </c>
      <c r="G10" s="7" t="s">
        <v>99</v>
      </c>
    </row>
    <row r="11" spans="1:7">
      <c r="B11" s="7" t="s">
        <v>100</v>
      </c>
      <c r="C11" s="7">
        <v>0</v>
      </c>
      <c r="D11" s="7">
        <v>0</v>
      </c>
      <c r="F11" s="7" t="s">
        <v>98</v>
      </c>
    </row>
    <row r="12" spans="1:7">
      <c r="B12" s="7" t="s">
        <v>101</v>
      </c>
      <c r="C12" s="7">
        <v>0</v>
      </c>
      <c r="D12" s="7">
        <v>0.2</v>
      </c>
      <c r="F12" s="7" t="s">
        <v>98</v>
      </c>
      <c r="G12" s="7" t="s">
        <v>99</v>
      </c>
    </row>
    <row r="13" spans="1:7">
      <c r="B13" s="7" t="s">
        <v>102</v>
      </c>
      <c r="C13" s="7">
        <v>0</v>
      </c>
      <c r="D13" s="7">
        <v>0.5</v>
      </c>
      <c r="F13" s="7" t="s">
        <v>98</v>
      </c>
      <c r="G13" s="7" t="s">
        <v>99</v>
      </c>
    </row>
    <row r="14" spans="1:7">
      <c r="B14" s="7" t="s">
        <v>103</v>
      </c>
      <c r="C14" s="7">
        <v>0</v>
      </c>
      <c r="D14" s="7">
        <v>0</v>
      </c>
      <c r="F14" s="7" t="s">
        <v>98</v>
      </c>
    </row>
    <row r="15" spans="1:7">
      <c r="B15" s="7" t="s">
        <v>104</v>
      </c>
      <c r="C15" s="7">
        <v>0</v>
      </c>
      <c r="D15" s="7">
        <v>0.1</v>
      </c>
      <c r="F15" s="7" t="s">
        <v>98</v>
      </c>
      <c r="G15" s="7" t="s">
        <v>99</v>
      </c>
    </row>
    <row r="16" spans="1:7">
      <c r="B16" s="7" t="s">
        <v>105</v>
      </c>
      <c r="C16" s="7">
        <v>0</v>
      </c>
      <c r="D16" s="7">
        <v>2</v>
      </c>
      <c r="F16" s="7" t="s">
        <v>98</v>
      </c>
      <c r="G16" s="7" t="s">
        <v>99</v>
      </c>
    </row>
    <row r="17" spans="2:7">
      <c r="B17" s="7" t="s">
        <v>106</v>
      </c>
      <c r="C17" s="7">
        <v>0</v>
      </c>
      <c r="D17" s="7">
        <v>1.7</v>
      </c>
      <c r="F17" s="7" t="s">
        <v>98</v>
      </c>
      <c r="G17" s="7" t="s">
        <v>99</v>
      </c>
    </row>
    <row r="18" spans="2:7">
      <c r="B18" s="7" t="s">
        <v>107</v>
      </c>
      <c r="C18" s="7">
        <v>0</v>
      </c>
      <c r="D18" s="10">
        <v>6.31</v>
      </c>
      <c r="F18" s="7" t="s">
        <v>98</v>
      </c>
      <c r="G18" s="7" t="s">
        <v>99</v>
      </c>
    </row>
    <row r="19" spans="2:7">
      <c r="B19" s="7" t="s">
        <v>108</v>
      </c>
      <c r="C19" s="7">
        <v>0</v>
      </c>
      <c r="D19" s="7">
        <v>0</v>
      </c>
      <c r="F19" s="7" t="s">
        <v>98</v>
      </c>
    </row>
    <row r="20" spans="2:7">
      <c r="B20" s="7" t="s">
        <v>109</v>
      </c>
      <c r="C20" s="7">
        <v>0</v>
      </c>
      <c r="D20" s="7">
        <v>0</v>
      </c>
      <c r="F20" s="7" t="s">
        <v>98</v>
      </c>
    </row>
    <row r="21" spans="2:7">
      <c r="B21" s="7" t="s">
        <v>110</v>
      </c>
      <c r="C21" s="7">
        <v>0</v>
      </c>
      <c r="D21" s="7">
        <v>0</v>
      </c>
      <c r="F21" s="7" t="s">
        <v>98</v>
      </c>
    </row>
    <row r="22" spans="2:7">
      <c r="B22" s="7" t="s">
        <v>111</v>
      </c>
      <c r="C22" s="7">
        <v>249.12</v>
      </c>
      <c r="D22" s="7">
        <v>249.12</v>
      </c>
      <c r="F22" s="7" t="s">
        <v>98</v>
      </c>
      <c r="G22" s="7" t="s">
        <v>87</v>
      </c>
    </row>
    <row r="23" spans="2:7">
      <c r="B23" s="7" t="s">
        <v>112</v>
      </c>
      <c r="C23" s="7">
        <v>1.3599999999999999E-2</v>
      </c>
      <c r="D23" s="7">
        <v>1.3599999999999999E-2</v>
      </c>
      <c r="F23" s="7" t="s">
        <v>98</v>
      </c>
      <c r="G23" s="7" t="s">
        <v>87</v>
      </c>
    </row>
    <row r="24" spans="2:7">
      <c r="B24" s="7" t="s">
        <v>113</v>
      </c>
      <c r="C24" s="7">
        <v>0.2</v>
      </c>
      <c r="D24" s="7">
        <v>0.2</v>
      </c>
      <c r="F24" s="7" t="s">
        <v>98</v>
      </c>
      <c r="G24" s="7" t="s">
        <v>114</v>
      </c>
    </row>
    <row r="25" spans="2:7">
      <c r="B25" s="7" t="s">
        <v>115</v>
      </c>
      <c r="C25" s="7">
        <v>0.01</v>
      </c>
      <c r="D25" s="7">
        <v>0.01</v>
      </c>
      <c r="F25" s="7" t="s">
        <v>98</v>
      </c>
      <c r="G25" s="7" t="s">
        <v>87</v>
      </c>
    </row>
    <row r="26" spans="2:7">
      <c r="B26" s="7" t="s">
        <v>116</v>
      </c>
      <c r="C26" s="7">
        <v>0</v>
      </c>
      <c r="D26" s="7">
        <v>0</v>
      </c>
      <c r="F26" s="7" t="s">
        <v>98</v>
      </c>
      <c r="G26" s="7" t="s">
        <v>114</v>
      </c>
    </row>
    <row r="27" spans="2:7">
      <c r="B27" s="7" t="s">
        <v>117</v>
      </c>
      <c r="C27" s="7">
        <v>3.4</v>
      </c>
      <c r="D27" s="7">
        <v>3.4</v>
      </c>
      <c r="F27" s="7" t="s">
        <v>98</v>
      </c>
      <c r="G27" s="7" t="s">
        <v>87</v>
      </c>
    </row>
    <row r="28" spans="2:7">
      <c r="B28" s="7" t="s">
        <v>118</v>
      </c>
      <c r="C28" s="7">
        <v>14.4</v>
      </c>
      <c r="D28" s="7">
        <v>14.4</v>
      </c>
      <c r="F28" s="7" t="s">
        <v>98</v>
      </c>
      <c r="G28" s="7" t="s">
        <v>87</v>
      </c>
    </row>
    <row r="29" spans="2:7">
      <c r="B29" s="7" t="s">
        <v>119</v>
      </c>
      <c r="C29" s="7">
        <v>0.09</v>
      </c>
      <c r="D29" s="7">
        <v>0.09</v>
      </c>
      <c r="F29" s="7" t="s">
        <v>98</v>
      </c>
      <c r="G29" s="7" t="s">
        <v>114</v>
      </c>
    </row>
    <row r="30" spans="2:7">
      <c r="B30" s="7" t="s">
        <v>120</v>
      </c>
      <c r="C30" s="7">
        <v>3.1E-2</v>
      </c>
      <c r="D30" s="7">
        <v>3.1E-2</v>
      </c>
      <c r="F30" s="7" t="s">
        <v>98</v>
      </c>
      <c r="G30" s="7" t="s">
        <v>114</v>
      </c>
    </row>
    <row r="31" spans="2:7">
      <c r="B31" s="7" t="s">
        <v>121</v>
      </c>
      <c r="C31" s="7">
        <v>3.0000000000000001E-3</v>
      </c>
      <c r="D31" s="7">
        <v>3.0000000000000001E-3</v>
      </c>
      <c r="F31" s="7" t="s">
        <v>98</v>
      </c>
      <c r="G31" s="7" t="s">
        <v>114</v>
      </c>
    </row>
    <row r="32" spans="2:7">
      <c r="B32" s="7" t="s">
        <v>122</v>
      </c>
      <c r="C32" s="7">
        <v>0.1</v>
      </c>
      <c r="D32" s="7">
        <v>0.1</v>
      </c>
      <c r="F32" s="7" t="s">
        <v>98</v>
      </c>
      <c r="G32" s="7" t="s">
        <v>114</v>
      </c>
    </row>
    <row r="34" spans="2:4">
      <c r="B34" s="7" t="s">
        <v>126</v>
      </c>
      <c r="C34" s="7" t="s">
        <v>127</v>
      </c>
      <c r="D34" s="7" t="s">
        <v>127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hydrogen-transport</vt:lpstr>
      <vt:lpstr>unused activities</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Tobias Schließ</cp:lastModifiedBy>
  <dcterms:created xsi:type="dcterms:W3CDTF">2026-05-19T07:47:50Z</dcterms:created>
  <dcterms:modified xsi:type="dcterms:W3CDTF">2026-10-15T16:08:09Z</dcterms:modified>
</cp:coreProperties>
</file>